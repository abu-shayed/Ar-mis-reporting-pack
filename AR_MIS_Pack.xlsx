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s\3rd project\"/>
    </mc:Choice>
  </mc:AlternateContent>
  <xr:revisionPtr revIDLastSave="0" documentId="13_ncr:1_{97AABFD5-1018-42DB-A5B7-E56C6B5D1F8F}" xr6:coauthVersionLast="47" xr6:coauthVersionMax="47" xr10:uidLastSave="{00000000-0000-0000-0000-000000000000}"/>
  <bookViews>
    <workbookView xWindow="-135" yWindow="30" windowWidth="16620" windowHeight="16200" xr2:uid="{06F383F1-79AA-4B7C-BDD9-7EF044FB14F0}"/>
  </bookViews>
  <sheets>
    <sheet name="Exec_Summary" sheetId="7" r:id="rId1"/>
    <sheet name="Pay_Summary" sheetId="4" r:id="rId2"/>
    <sheet name="Payment_Clean" sheetId="3" r:id="rId3"/>
    <sheet name="Scorecard" sheetId="1" r:id="rId4"/>
    <sheet name="pivot" sheetId="5" r:id="rId5"/>
    <sheet name="Invoices_Clean" sheetId="2" r:id="rId6"/>
    <sheet name="GL_Recon" sheetId="6" r:id="rId7"/>
  </sheets>
  <definedNames>
    <definedName name="ExternalData_1" localSheetId="5" hidden="1">Invoices_Clean!$A$1:$K$1496</definedName>
    <definedName name="ExternalData_2" localSheetId="2" hidden="1">Payment_Clean!$A$1:$F$1362</definedName>
    <definedName name="ExternalData_3" localSheetId="1" hidden="1">Pay_Summary!$A$1:$B$1172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6" l="1"/>
  <c r="F2" i="6"/>
  <c r="E2" i="6"/>
  <c r="D2" i="6"/>
  <c r="C2" i="6"/>
  <c r="B2" i="6"/>
  <c r="D4" i="1"/>
  <c r="D3" i="1"/>
  <c r="D2" i="1"/>
  <c r="B3" i="1"/>
  <c r="B4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D38A20-7908-4EEB-A71A-E4567408A4C3}" keepAlive="1" name="Query - Invoices _Raw" description="Connection to the 'Invoices _Raw' query in the workbook." type="5" refreshedVersion="0" background="1">
    <dbPr connection="Provider=Microsoft.Mashup.OleDb.1;Data Source=$Workbook$;Location=&quot;Invoices _Raw&quot;;Extended Properties=&quot;&quot;" command="SELECT * FROM [Invoices _Raw]"/>
  </connection>
  <connection id="2" xr16:uid="{A5565F57-900D-4B4A-BE9D-53C8FC11EF14}" keepAlive="1" name="Query - Invoices_Clean" description="Connection to the 'Invoices_Clean' query in the workbook." type="5" refreshedVersion="7" background="1" saveData="1">
    <dbPr connection="Provider=Microsoft.Mashup.OleDb.1;Data Source=$Workbook$;Location=Invoices_Clean;Extended Properties=&quot;&quot;" command="SELECT * FROM [Invoices_Clean]"/>
  </connection>
  <connection id="3" xr16:uid="{C445CA7C-49B9-47F5-9EED-C9BC7BC22AE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A1CE9508-DB2D-42C8-9E4D-DC43EE4FDE50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5" xr16:uid="{D450F3B8-70F8-4289-8D1E-B65E9894057A}" keepAlive="1" name="Query - Pay_Summary" description="Connection to the 'Pay_Summary' query in the workbook." type="5" refreshedVersion="7" background="1" saveData="1">
    <dbPr connection="Provider=Microsoft.Mashup.OleDb.1;Data Source=$Workbook$;Location=Pay_Summary;Extended Properties=&quot;&quot;" command="SELECT * FROM [Pay_Summary]"/>
  </connection>
  <connection id="6" xr16:uid="{1094AFF2-192C-467E-825F-AC9ADE227B2A}" keepAlive="1" name="Query - Payment_Clean" description="Connection to the 'Payment_Clean' query in the workbook." type="5" refreshedVersion="7" background="1" saveData="1">
    <dbPr connection="Provider=Microsoft.Mashup.OleDb.1;Data Source=$Workbook$;Location=Payment_Clean;Extended Properties=&quot;&quot;" command="SELECT * FROM [Payment_Clean]"/>
  </connection>
  <connection id="7" xr16:uid="{D9E8B671-B83B-4E13-B19C-2ADE522CA2EC}" keepAlive="1" name="Query - Payment_Raw" description="Connection to the 'Payment_Raw' query in the workbook." type="5" refreshedVersion="0" background="1">
    <dbPr connection="Provider=Microsoft.Mashup.OleDb.1;Data Source=$Workbook$;Location=Payment_Raw;Extended Properties=&quot;&quot;" command="SELECT * FROM [Payment_Raw]"/>
  </connection>
  <connection id="8" xr16:uid="{AF4C81E2-4B6D-48DF-94C6-6528444BE78D}" keepAlive="1" name="Query - Ref_customers" description="Connection to the 'Ref_customers' query in the workbook." type="5" refreshedVersion="0" background="1">
    <dbPr connection="Provider=Microsoft.Mashup.OleDb.1;Data Source=$Workbook$;Location=Ref_customers;Extended Properties=&quot;&quot;" command="SELECT * FROM [Ref_customers]"/>
  </connection>
  <connection id="9" xr16:uid="{63B99AAB-A777-43A6-8C25-5D5E11FAC0A0}" keepAlive="1" name="Query - Ref_gl_control" description="Connection to the 'Ref_gl_control' query in the workbook." type="5" refreshedVersion="0" background="1">
    <dbPr connection="Provider=Microsoft.Mashup.OleDb.1;Data Source=$Workbook$;Location=Ref_gl_control;Extended Properties=&quot;&quot;" command="SELECT * FROM [Ref_gl_control]"/>
  </connection>
  <connection id="10" xr16:uid="{86D99BD7-FE19-41BE-8CB2-7361C145AC14}" keepAlive="1" name="Query - Ref_target" description="Connection to the 'Ref_target' query in the workbook." type="5" refreshedVersion="0" background="1">
    <dbPr connection="Provider=Microsoft.Mashup.OleDb.1;Data Source=$Workbook$;Location=Ref_target;Extended Properties=&quot;&quot;" command="SELECT * FROM [Ref_target]"/>
  </connection>
  <connection id="11" xr16:uid="{A5F78019-8F35-4DC1-85F1-0324272D9B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AC02D51C-14BF-4F27-A314-1D0B3E5BEE24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13" xr16:uid="{93FFA756-4130-4797-9E64-FAFDE58C0B6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4" xr16:uid="{67D341B7-0CF3-4A02-BF7C-8007BCA3B43F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15" xr16:uid="{2DFB774B-88D9-44A0-8B83-A9CFC80F6C26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6" xr16:uid="{945349DE-D2A4-4922-929C-C78B547AB2C0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<sst xmlns="http://schemas.openxmlformats.org/spreadsheetml/2006/main" count="14153" uniqueCount="2992">
  <si>
    <t>Source.Name</t>
  </si>
  <si>
    <t>PaymentID</t>
  </si>
  <si>
    <t>InvoiceID</t>
  </si>
  <si>
    <t>PaymentDate</t>
  </si>
  <si>
    <t>AmountPaid</t>
  </si>
  <si>
    <t>PaymentMode</t>
  </si>
  <si>
    <t>payments_2026-04.csv</t>
  </si>
  <si>
    <t>PAY-202604-0001</t>
  </si>
  <si>
    <t>INV-202604-0068</t>
  </si>
  <si>
    <t>Bank</t>
  </si>
  <si>
    <t>PAY-202604-0002</t>
  </si>
  <si>
    <t>INV-202604-0001</t>
  </si>
  <si>
    <t>PAY-202604-0003</t>
  </si>
  <si>
    <t>INV-202604-0010</t>
  </si>
  <si>
    <t>PAY-202604-0004</t>
  </si>
  <si>
    <t>INV-202604-0007</t>
  </si>
  <si>
    <t>Cheque</t>
  </si>
  <si>
    <t>PAY-202604-0005</t>
  </si>
  <si>
    <t>INV-202604-0076</t>
  </si>
  <si>
    <t>PAY-202604-0006</t>
  </si>
  <si>
    <t>INV-202604-0029</t>
  </si>
  <si>
    <t>PAY-202604-0007</t>
  </si>
  <si>
    <t>INV-202604-0039</t>
  </si>
  <si>
    <t>PAY-202604-0008</t>
  </si>
  <si>
    <t>PAY-202604-0009</t>
  </si>
  <si>
    <t>INV-202604-0036</t>
  </si>
  <si>
    <t>Cash</t>
  </si>
  <si>
    <t>PAY-202604-0010</t>
  </si>
  <si>
    <t>INV-202604-0046</t>
  </si>
  <si>
    <t>PAY-202604-0011</t>
  </si>
  <si>
    <t>INV-202604-0083</t>
  </si>
  <si>
    <t>PAY-202604-0012</t>
  </si>
  <si>
    <t>INV-202604-0105</t>
  </si>
  <si>
    <t>PAY-202604-0013</t>
  </si>
  <si>
    <t>INV-202604-0099</t>
  </si>
  <si>
    <t>PAY-202604-0014</t>
  </si>
  <si>
    <t>INV-202604-0018</t>
  </si>
  <si>
    <t>PAY-202604-0015</t>
  </si>
  <si>
    <t>INV-202604-0051</t>
  </si>
  <si>
    <t>PAY-202604-0016</t>
  </si>
  <si>
    <t>INV-202604-0059</t>
  </si>
  <si>
    <t>PAY-202604-0017</t>
  </si>
  <si>
    <t>PAY-202604-0018</t>
  </si>
  <si>
    <t>INV-202604-0077</t>
  </si>
  <si>
    <t>PAY-202604-0019</t>
  </si>
  <si>
    <t>INV-202604-0020</t>
  </si>
  <si>
    <t>PAY-202604-0020</t>
  </si>
  <si>
    <t>INV-202604-0030</t>
  </si>
  <si>
    <t>PAY-202604-0021</t>
  </si>
  <si>
    <t>INV-202604-0056</t>
  </si>
  <si>
    <t>PAY-202604-0022</t>
  </si>
  <si>
    <t>INV-202604-0090</t>
  </si>
  <si>
    <t>PAY-202604-0023</t>
  </si>
  <si>
    <t>INV-202604-0100</t>
  </si>
  <si>
    <t>PAY-202604-0024</t>
  </si>
  <si>
    <t>INV-202604-0104</t>
  </si>
  <si>
    <t>PAY-202604-0025</t>
  </si>
  <si>
    <t>INV-202604-0005</t>
  </si>
  <si>
    <t>PAY-202604-0026</t>
  </si>
  <si>
    <t>INV-202604-0026</t>
  </si>
  <si>
    <t>PAY-202604-0027</t>
  </si>
  <si>
    <t>INV-202604-0049</t>
  </si>
  <si>
    <t>PAY-202604-0028</t>
  </si>
  <si>
    <t>INV-202604-0097</t>
  </si>
  <si>
    <t>PAY-202604-0029</t>
  </si>
  <si>
    <t>INV-202604-0111</t>
  </si>
  <si>
    <t>PAY-202604-0030</t>
  </si>
  <si>
    <t>INV-202604-0119</t>
  </si>
  <si>
    <t>PAY-202604-0031</t>
  </si>
  <si>
    <t>INV-202604-0191</t>
  </si>
  <si>
    <t>PAY-202604-0032</t>
  </si>
  <si>
    <t>INV-202604-0011</t>
  </si>
  <si>
    <t>PAY-202604-0033</t>
  </si>
  <si>
    <t>INV-202604-0168</t>
  </si>
  <si>
    <t>PAY-202604-0034</t>
  </si>
  <si>
    <t>INV-202604-0176</t>
  </si>
  <si>
    <t>PAY-202604-0035</t>
  </si>
  <si>
    <t>INV-202604-0201</t>
  </si>
  <si>
    <t>PAY-202604-0036</t>
  </si>
  <si>
    <t>INV-202604-0122</t>
  </si>
  <si>
    <t>PAY-202604-0037</t>
  </si>
  <si>
    <t>INV-202604-0143</t>
  </si>
  <si>
    <t>PAY-202604-0038</t>
  </si>
  <si>
    <t>INV-202604-0185</t>
  </si>
  <si>
    <t>PAY-202604-0039</t>
  </si>
  <si>
    <t>INV-202604-0043</t>
  </si>
  <si>
    <t>PAY-202604-0040</t>
  </si>
  <si>
    <t>INV-202604-0086</t>
  </si>
  <si>
    <t>PAY-202604-0041</t>
  </si>
  <si>
    <t>INV-202604-0091</t>
  </si>
  <si>
    <t>PAY-202604-0042</t>
  </si>
  <si>
    <t>PAY-202604-0043</t>
  </si>
  <si>
    <t>INV-202604-0047</t>
  </si>
  <si>
    <t>PAY-202604-0044</t>
  </si>
  <si>
    <t>INV-202604-0117</t>
  </si>
  <si>
    <t>PAY-202604-0045</t>
  </si>
  <si>
    <t>INV-202604-0129</t>
  </si>
  <si>
    <t>PAY-202604-0046</t>
  </si>
  <si>
    <t>INV-202604-0154</t>
  </si>
  <si>
    <t>PAY-202604-0047</t>
  </si>
  <si>
    <t>INV-202604-0053</t>
  </si>
  <si>
    <t>PAY-202604-0048</t>
  </si>
  <si>
    <t>INV-202604-0089</t>
  </si>
  <si>
    <t>PAY-202604-0049</t>
  </si>
  <si>
    <t>INV-202604-0106</t>
  </si>
  <si>
    <t>PAY-202604-0050</t>
  </si>
  <si>
    <t>PAY-202604-0051</t>
  </si>
  <si>
    <t>INV-202604-0165</t>
  </si>
  <si>
    <t>PAY-202604-0052</t>
  </si>
  <si>
    <t>INV-202604-0178</t>
  </si>
  <si>
    <t>PAY-202604-0053</t>
  </si>
  <si>
    <t>INV-202604-0235</t>
  </si>
  <si>
    <t>PAY-202604-0054</t>
  </si>
  <si>
    <t>INV-202604-0015</t>
  </si>
  <si>
    <t>PAY-202604-0055</t>
  </si>
  <si>
    <t>INV-202604-0108</t>
  </si>
  <si>
    <t>PAY-202604-0056</t>
  </si>
  <si>
    <t>INV-202604-0135</t>
  </si>
  <si>
    <t>PAY-202604-0057</t>
  </si>
  <si>
    <t>INV-202604-0234</t>
  </si>
  <si>
    <t>PAY-202604-0058</t>
  </si>
  <si>
    <t>INV-202604-0244</t>
  </si>
  <si>
    <t>PAY-202604-0059</t>
  </si>
  <si>
    <t>INV-202604-0066</t>
  </si>
  <si>
    <t>PAY-202604-0060</t>
  </si>
  <si>
    <t>INV-202604-0128</t>
  </si>
  <si>
    <t>PAY-202604-0061</t>
  </si>
  <si>
    <t>INV-202604-0133</t>
  </si>
  <si>
    <t>PAY-202604-0062</t>
  </si>
  <si>
    <t>INV-202604-0138</t>
  </si>
  <si>
    <t>PAY-202604-0063</t>
  </si>
  <si>
    <t>INV-202604-0169</t>
  </si>
  <si>
    <t>PAY-202604-0064</t>
  </si>
  <si>
    <t>INV-202604-0040</t>
  </si>
  <si>
    <t>PAY-202604-0065</t>
  </si>
  <si>
    <t>INV-202604-0057</t>
  </si>
  <si>
    <t>PAY-202604-0066</t>
  </si>
  <si>
    <t>INV-202604-0079</t>
  </si>
  <si>
    <t>PAY-202604-0067</t>
  </si>
  <si>
    <t>INV-202604-0114</t>
  </si>
  <si>
    <t>PAY-202604-0068</t>
  </si>
  <si>
    <t>INV-202604-0060</t>
  </si>
  <si>
    <t>PAY-202604-0069</t>
  </si>
  <si>
    <t>INV-202604-0064</t>
  </si>
  <si>
    <t>PAY-202604-0070</t>
  </si>
  <si>
    <t>INV-202604-0257</t>
  </si>
  <si>
    <t>PAY-202604-0071</t>
  </si>
  <si>
    <t>INV-202604-0008</t>
  </si>
  <si>
    <t>PAY-202604-0072</t>
  </si>
  <si>
    <t>PAY-202604-0073</t>
  </si>
  <si>
    <t>PAY-202604-0074</t>
  </si>
  <si>
    <t>PAY-202604-0075</t>
  </si>
  <si>
    <t>INV-202604-0148</t>
  </si>
  <si>
    <t>PAY-202604-0076</t>
  </si>
  <si>
    <t>INV-202604-0166</t>
  </si>
  <si>
    <t>PAY-202604-0077</t>
  </si>
  <si>
    <t>INV-202604-0167</t>
  </si>
  <si>
    <t>PAY-202604-0078</t>
  </si>
  <si>
    <t>INV-202604-0281</t>
  </si>
  <si>
    <t>payments_2026-05.csv</t>
  </si>
  <si>
    <t>PAY-202605-0001</t>
  </si>
  <si>
    <t>INV-202604-0013</t>
  </si>
  <si>
    <t>PAY-202605-0002</t>
  </si>
  <si>
    <t>INV-202604-0087</t>
  </si>
  <si>
    <t>PAY-202605-0003</t>
  </si>
  <si>
    <t>INV-202604-0093</t>
  </si>
  <si>
    <t>PAY-202605-0004</t>
  </si>
  <si>
    <t>INV-202604-0262</t>
  </si>
  <si>
    <t>PAY-202605-0005</t>
  </si>
  <si>
    <t>INV-202604-0297</t>
  </si>
  <si>
    <t>PAY-202605-0006</t>
  </si>
  <si>
    <t>INV-202604-0027</t>
  </si>
  <si>
    <t>PAY-202605-0007</t>
  </si>
  <si>
    <t>INV-202604-0041</t>
  </si>
  <si>
    <t>PAY-202605-0008</t>
  </si>
  <si>
    <t>INV-202604-0042</t>
  </si>
  <si>
    <t>PAY-202605-0009</t>
  </si>
  <si>
    <t>INV-202604-0072</t>
  </si>
  <si>
    <t>PAY-202605-0010</t>
  </si>
  <si>
    <t>INV-202604-0238</t>
  </si>
  <si>
    <t>PAY-202605-0011</t>
  </si>
  <si>
    <t>INV-202604-0241</t>
  </si>
  <si>
    <t>PAY-202605-0012</t>
  </si>
  <si>
    <t>INV-202604-0250</t>
  </si>
  <si>
    <t>PAY-202605-0013</t>
  </si>
  <si>
    <t>INV-202604-0062</t>
  </si>
  <si>
    <t>PAY-202605-0014</t>
  </si>
  <si>
    <t>INV-202604-0067</t>
  </si>
  <si>
    <t>PAY-202605-0015</t>
  </si>
  <si>
    <t>INV-202604-0080</t>
  </si>
  <si>
    <t>PAY-202605-0016</t>
  </si>
  <si>
    <t>INV-202604-0103</t>
  </si>
  <si>
    <t>PAY-202605-0017</t>
  </si>
  <si>
    <t>INV-202604-0123</t>
  </si>
  <si>
    <t>PAY-202605-0018</t>
  </si>
  <si>
    <t>INV-202604-0265</t>
  </si>
  <si>
    <t>PAY-202605-0019</t>
  </si>
  <si>
    <t>INV-202605-0019</t>
  </si>
  <si>
    <t>PAY-202605-0020</t>
  </si>
  <si>
    <t>PAY-202605-0021</t>
  </si>
  <si>
    <t>INV-202604-0112</t>
  </si>
  <si>
    <t>PAY-202605-0022</t>
  </si>
  <si>
    <t>INV-202604-0180</t>
  </si>
  <si>
    <t>PAY-202605-0023</t>
  </si>
  <si>
    <t>INV-202604-0202</t>
  </si>
  <si>
    <t>PAY-202605-0024</t>
  </si>
  <si>
    <t>INV-202604-0115</t>
  </si>
  <si>
    <t>PAY-202605-0025</t>
  </si>
  <si>
    <t>INV-202604-0204</t>
  </si>
  <si>
    <t>PAY-202605-0026</t>
  </si>
  <si>
    <t>PAY-202605-0027</t>
  </si>
  <si>
    <t>PAY-202605-0028</t>
  </si>
  <si>
    <t>INV-202604-0247</t>
  </si>
  <si>
    <t>PAY-202605-0029</t>
  </si>
  <si>
    <t>INV-202604-0050</t>
  </si>
  <si>
    <t>PAY-202605-0030</t>
  </si>
  <si>
    <t>INV-202604-0116</t>
  </si>
  <si>
    <t>PAY-202605-0031</t>
  </si>
  <si>
    <t>INV-202604-0208</t>
  </si>
  <si>
    <t>PAY-202605-0032</t>
  </si>
  <si>
    <t>INV-202604-0300</t>
  </si>
  <si>
    <t>PAY-202605-0033</t>
  </si>
  <si>
    <t>INV-202605-0002</t>
  </si>
  <si>
    <t>PAY-202605-0034</t>
  </si>
  <si>
    <t>INV-202605-0064</t>
  </si>
  <si>
    <t>PAY-202605-0035</t>
  </si>
  <si>
    <t>INV-202604-0003</t>
  </si>
  <si>
    <t>PAY-202605-0036</t>
  </si>
  <si>
    <t>INV-202604-0120</t>
  </si>
  <si>
    <t>PAY-202605-0037</t>
  </si>
  <si>
    <t>INV-202604-0149</t>
  </si>
  <si>
    <t>PAY-202605-0038</t>
  </si>
  <si>
    <t>INV-202604-0153</t>
  </si>
  <si>
    <t>PAY-202605-0039</t>
  </si>
  <si>
    <t>INV-202604-0194</t>
  </si>
  <si>
    <t>PAY-202605-0040</t>
  </si>
  <si>
    <t>INV-202604-0292</t>
  </si>
  <si>
    <t>PAY-202605-0041</t>
  </si>
  <si>
    <t>INV-202605-0030</t>
  </si>
  <si>
    <t>PAY-202605-0042</t>
  </si>
  <si>
    <t>INV-202604-0004</t>
  </si>
  <si>
    <t>PAY-202605-0043</t>
  </si>
  <si>
    <t>INV-202604-0125</t>
  </si>
  <si>
    <t>PAY-202605-0044</t>
  </si>
  <si>
    <t>INV-202604-0175</t>
  </si>
  <si>
    <t>PAY-202605-0045</t>
  </si>
  <si>
    <t>INV-202604-0181</t>
  </si>
  <si>
    <t>PAY-202605-0046</t>
  </si>
  <si>
    <t>PAY-202605-0047</t>
  </si>
  <si>
    <t>PAY-202605-0048</t>
  </si>
  <si>
    <t>INV-202604-0266</t>
  </si>
  <si>
    <t>PAY-202605-0049</t>
  </si>
  <si>
    <t>INV-202604-0288</t>
  </si>
  <si>
    <t>PAY-202605-0050</t>
  </si>
  <si>
    <t>INV-202604-0289</t>
  </si>
  <si>
    <t>PAY-202605-0051</t>
  </si>
  <si>
    <t>INV-202604-0298</t>
  </si>
  <si>
    <t>PAY-202605-0052</t>
  </si>
  <si>
    <t>INV-202605-0011</t>
  </si>
  <si>
    <t>PAY-202605-0053</t>
  </si>
  <si>
    <t>INV-202605-0058</t>
  </si>
  <si>
    <t>PAY-202605-0054</t>
  </si>
  <si>
    <t>INV-202604-0151</t>
  </si>
  <si>
    <t>PAY-202605-0055</t>
  </si>
  <si>
    <t>INV-202604-0187</t>
  </si>
  <si>
    <t>PAY-202605-0056</t>
  </si>
  <si>
    <t>INV-202604-0218</t>
  </si>
  <si>
    <t>PAY-202605-0057</t>
  </si>
  <si>
    <t>PAY-202605-0058</t>
  </si>
  <si>
    <t>PAY-202605-0059</t>
  </si>
  <si>
    <t>PAY-202605-0060</t>
  </si>
  <si>
    <t>INV-202604-0270</t>
  </si>
  <si>
    <t>PAY-202605-0061</t>
  </si>
  <si>
    <t>INV-202604-0052</t>
  </si>
  <si>
    <t>PAY-202605-0062</t>
  </si>
  <si>
    <t>PAY-202605-0063</t>
  </si>
  <si>
    <t>INV-202604-0132</t>
  </si>
  <si>
    <t>PAY-202605-0064</t>
  </si>
  <si>
    <t>INV-202604-0269</t>
  </si>
  <si>
    <t>PAY-202605-0065</t>
  </si>
  <si>
    <t>INV-202605-0044</t>
  </si>
  <si>
    <t>PAY-202605-0066</t>
  </si>
  <si>
    <t>INV-202604-0055</t>
  </si>
  <si>
    <t>PAY-202605-0067</t>
  </si>
  <si>
    <t>INV-202604-0102</t>
  </si>
  <si>
    <t>PAY-202605-0068</t>
  </si>
  <si>
    <t>INV-202604-0140</t>
  </si>
  <si>
    <t>PAY-202605-0069</t>
  </si>
  <si>
    <t>INV-202604-0192</t>
  </si>
  <si>
    <t>PAY-202605-0070</t>
  </si>
  <si>
    <t>INV-202604-0299</t>
  </si>
  <si>
    <t>PAY-202605-0071</t>
  </si>
  <si>
    <t>INV-202605-0016</t>
  </si>
  <si>
    <t>PAY-202605-0072</t>
  </si>
  <si>
    <t>INV-202605-0039</t>
  </si>
  <si>
    <t>PAY-202605-0073</t>
  </si>
  <si>
    <t>INV-202604-0163</t>
  </si>
  <si>
    <t>PAY-202605-0074</t>
  </si>
  <si>
    <t>INV-202605-0015</t>
  </si>
  <si>
    <t>PAY-202605-0075</t>
  </si>
  <si>
    <t>PAY-202605-0076</t>
  </si>
  <si>
    <t>INV-202605-0047</t>
  </si>
  <si>
    <t>PAY-202605-0077</t>
  </si>
  <si>
    <t>INV-202604-0098</t>
  </si>
  <si>
    <t>PAY-202605-0078</t>
  </si>
  <si>
    <t>INV-202604-0134</t>
  </si>
  <si>
    <t>PAY-202605-0079</t>
  </si>
  <si>
    <t>INV-202604-0147</t>
  </si>
  <si>
    <t>PAY-202605-0080</t>
  </si>
  <si>
    <t>INV-202604-0164</t>
  </si>
  <si>
    <t>PAY-202605-0081</t>
  </si>
  <si>
    <t>INV-202604-0216</t>
  </si>
  <si>
    <t>PAY-202605-0082</t>
  </si>
  <si>
    <t>INV-202604-0239</t>
  </si>
  <si>
    <t>PAY-202605-0083</t>
  </si>
  <si>
    <t>INV-202605-0007</t>
  </si>
  <si>
    <t>PAY-202605-0084</t>
  </si>
  <si>
    <t>INV-202605-0008</t>
  </si>
  <si>
    <t>PAY-202605-0085</t>
  </si>
  <si>
    <t>INV-202604-0032</t>
  </si>
  <si>
    <t>PAY-202605-0086</t>
  </si>
  <si>
    <t>INV-202604-0136</t>
  </si>
  <si>
    <t>PAY-202605-0087</t>
  </si>
  <si>
    <t>INV-202604-0184</t>
  </si>
  <si>
    <t>PAY-202605-0088</t>
  </si>
  <si>
    <t>INV-202604-0198</t>
  </si>
  <si>
    <t>PAY-202605-0089</t>
  </si>
  <si>
    <t>INV-202604-0211</t>
  </si>
  <si>
    <t>PAY-202605-0090</t>
  </si>
  <si>
    <t>INV-202604-0215</t>
  </si>
  <si>
    <t>PAY-202605-0091</t>
  </si>
  <si>
    <t>INV-202604-0221</t>
  </si>
  <si>
    <t>PAY-202605-0092</t>
  </si>
  <si>
    <t>INV-202604-0227</t>
  </si>
  <si>
    <t>PAY-202605-0093</t>
  </si>
  <si>
    <t>INV-202605-0080</t>
  </si>
  <si>
    <t>PAY-202605-0094</t>
  </si>
  <si>
    <t>INV-202604-0006</t>
  </si>
  <si>
    <t>PAY-202605-0095</t>
  </si>
  <si>
    <t>INV-202604-0012</t>
  </si>
  <si>
    <t>PAY-202605-0096</t>
  </si>
  <si>
    <t>INV-202604-0065</t>
  </si>
  <si>
    <t>PAY-202605-0097</t>
  </si>
  <si>
    <t>INV-202604-0156</t>
  </si>
  <si>
    <t>PAY-202605-0098</t>
  </si>
  <si>
    <t>INV-202604-0183</t>
  </si>
  <si>
    <t>PAY-202605-0099</t>
  </si>
  <si>
    <t>INV-202604-0237</t>
  </si>
  <si>
    <t>PAY-202605-0100</t>
  </si>
  <si>
    <t>INV-202605-0041</t>
  </si>
  <si>
    <t>PAY-202605-0101</t>
  </si>
  <si>
    <t>INV-202604-0092</t>
  </si>
  <si>
    <t>PAY-202605-0102</t>
  </si>
  <si>
    <t>INV-202604-0188</t>
  </si>
  <si>
    <t>PAY-202605-0103</t>
  </si>
  <si>
    <t>INV-202604-0214</t>
  </si>
  <si>
    <t>PAY-202605-0104</t>
  </si>
  <si>
    <t>INV-202604-0242</t>
  </si>
  <si>
    <t>PAY-202605-0105</t>
  </si>
  <si>
    <t>INV-202604-0267</t>
  </si>
  <si>
    <t>PAY-202605-0106</t>
  </si>
  <si>
    <t>INV-202604-0287</t>
  </si>
  <si>
    <t>PAY-202605-0107</t>
  </si>
  <si>
    <t>INV-202605-0017</t>
  </si>
  <si>
    <t>PAY-202605-0108</t>
  </si>
  <si>
    <t>INV-202605-0026</t>
  </si>
  <si>
    <t>PAY-202605-0109</t>
  </si>
  <si>
    <t>INV-202605-0071</t>
  </si>
  <si>
    <t>PAY-202605-0110</t>
  </si>
  <si>
    <t>INV-202605-0074</t>
  </si>
  <si>
    <t>PAY-202605-0111</t>
  </si>
  <si>
    <t>INV-202605-0094</t>
  </si>
  <si>
    <t>PAY-202605-0112</t>
  </si>
  <si>
    <t>INV-202604-0144</t>
  </si>
  <si>
    <t>PAY-202605-0113</t>
  </si>
  <si>
    <t>PAY-202605-0114</t>
  </si>
  <si>
    <t>INV-202604-0278</t>
  </si>
  <si>
    <t>PAY-202605-0115</t>
  </si>
  <si>
    <t>INV-202604-0279</t>
  </si>
  <si>
    <t>PAY-202605-0116</t>
  </si>
  <si>
    <t>INV-202605-0086</t>
  </si>
  <si>
    <t>PAY-202605-0117</t>
  </si>
  <si>
    <t>INV-202604-0033</t>
  </si>
  <si>
    <t>PAY-202605-0118</t>
  </si>
  <si>
    <t>INV-202604-0035</t>
  </si>
  <si>
    <t>PAY-202605-0119</t>
  </si>
  <si>
    <t>INV-202604-0054</t>
  </si>
  <si>
    <t>PAY-202605-0120</t>
  </si>
  <si>
    <t>INV-202604-0082</t>
  </si>
  <si>
    <t>PAY-202605-0121</t>
  </si>
  <si>
    <t>INV-202605-0004</t>
  </si>
  <si>
    <t>PAY-202605-0122</t>
  </si>
  <si>
    <t>INV-202605-0038</t>
  </si>
  <si>
    <t>PAY-202605-0123</t>
  </si>
  <si>
    <t>INV-202605-0045</t>
  </si>
  <si>
    <t>PAY-202605-0124</t>
  </si>
  <si>
    <t>INV-202604-0195</t>
  </si>
  <si>
    <t>PAY-202605-0125</t>
  </si>
  <si>
    <t>INV-202605-0048</t>
  </si>
  <si>
    <t>PAY-202605-0126</t>
  </si>
  <si>
    <t>INV-202605-0053</t>
  </si>
  <si>
    <t>PAY-202605-0127</t>
  </si>
  <si>
    <t>INV-202605-0102</t>
  </si>
  <si>
    <t>PAY-202605-0128</t>
  </si>
  <si>
    <t>INV-202605-0169</t>
  </si>
  <si>
    <t>PAY-202605-0129</t>
  </si>
  <si>
    <t>PAY-202605-0130</t>
  </si>
  <si>
    <t>INV-202605-0006</t>
  </si>
  <si>
    <t>PAY-202605-0131</t>
  </si>
  <si>
    <t>INV-202605-0018</t>
  </si>
  <si>
    <t>PAY-202605-0132</t>
  </si>
  <si>
    <t>INV-202605-0067</t>
  </si>
  <si>
    <t>PAY-202605-0133</t>
  </si>
  <si>
    <t>INV-202605-0087</t>
  </si>
  <si>
    <t>PAY-202605-0134</t>
  </si>
  <si>
    <t>INV-202605-0135</t>
  </si>
  <si>
    <t>PAY-202605-0135</t>
  </si>
  <si>
    <t>INV-202604-0075</t>
  </si>
  <si>
    <t>PAY-202605-0136</t>
  </si>
  <si>
    <t>PAY-202605-0137</t>
  </si>
  <si>
    <t>INV-202604-0189</t>
  </si>
  <si>
    <t>PAY-202605-0138</t>
  </si>
  <si>
    <t>INV-202604-0230</t>
  </si>
  <si>
    <t>PAY-202605-0139</t>
  </si>
  <si>
    <t>INV-202604-0290</t>
  </si>
  <si>
    <t>PAY-202605-0140</t>
  </si>
  <si>
    <t>INV-202605-0012</t>
  </si>
  <si>
    <t>PAY-202605-0141</t>
  </si>
  <si>
    <t>INV-202605-0025</t>
  </si>
  <si>
    <t>PAY-202605-0142</t>
  </si>
  <si>
    <t>INV-202605-0062</t>
  </si>
  <si>
    <t>PAY-202605-0143</t>
  </si>
  <si>
    <t>INV-202605-0096</t>
  </si>
  <si>
    <t>PAY-202605-0144</t>
  </si>
  <si>
    <t>INV-202605-0171</t>
  </si>
  <si>
    <t>PAY-202605-0145</t>
  </si>
  <si>
    <t>INV-202604-0131</t>
  </si>
  <si>
    <t>PAY-202605-0146</t>
  </si>
  <si>
    <t>INV-202604-0203</t>
  </si>
  <si>
    <t>PAY-202605-0147</t>
  </si>
  <si>
    <t>INV-202604-0219</t>
  </si>
  <si>
    <t>PAY-202605-0148</t>
  </si>
  <si>
    <t>INV-202604-0252</t>
  </si>
  <si>
    <t>PAY-202605-0149</t>
  </si>
  <si>
    <t>INV-202604-0254</t>
  </si>
  <si>
    <t>PAY-202605-0150</t>
  </si>
  <si>
    <t>INV-202604-0261</t>
  </si>
  <si>
    <t>PAY-202605-0151</t>
  </si>
  <si>
    <t>INV-202605-0119</t>
  </si>
  <si>
    <t>PAY-202605-0152</t>
  </si>
  <si>
    <t>INV-202604-0037</t>
  </si>
  <si>
    <t>PAY-202605-0153</t>
  </si>
  <si>
    <t>INV-202604-0074</t>
  </si>
  <si>
    <t>PAY-202605-0154</t>
  </si>
  <si>
    <t>INV-202604-0197</t>
  </si>
  <si>
    <t>PAY-202605-0155</t>
  </si>
  <si>
    <t>INV-202604-0199</t>
  </si>
  <si>
    <t>PAY-202605-0156</t>
  </si>
  <si>
    <t>INV-202604-0246</t>
  </si>
  <si>
    <t>PAY-202605-0157</t>
  </si>
  <si>
    <t>INV-202605-0021</t>
  </si>
  <si>
    <t>PAY-202605-0158</t>
  </si>
  <si>
    <t>INV-202605-0088</t>
  </si>
  <si>
    <t>PAY-202605-0159</t>
  </si>
  <si>
    <t>INV-202605-0111</t>
  </si>
  <si>
    <t>PAY-202605-0160</t>
  </si>
  <si>
    <t>PAY-202605-0161</t>
  </si>
  <si>
    <t>INV-202604-0045</t>
  </si>
  <si>
    <t>PAY-202605-0162</t>
  </si>
  <si>
    <t>INV-202604-0084</t>
  </si>
  <si>
    <t>PAY-202605-0163</t>
  </si>
  <si>
    <t>INV-202604-0160</t>
  </si>
  <si>
    <t>PAY-202605-0164</t>
  </si>
  <si>
    <t>INV-202605-0001</t>
  </si>
  <si>
    <t>PAY-202605-0165</t>
  </si>
  <si>
    <t>INV-202605-0003</t>
  </si>
  <si>
    <t>PAY-202605-0166</t>
  </si>
  <si>
    <t>INV-202605-0072</t>
  </si>
  <si>
    <t>PAY-202605-0167</t>
  </si>
  <si>
    <t>INV-202605-0137</t>
  </si>
  <si>
    <t>PAY-202605-0168</t>
  </si>
  <si>
    <t>INV-202604-0061</t>
  </si>
  <si>
    <t>PAY-202605-0169</t>
  </si>
  <si>
    <t>INV-202604-0107</t>
  </si>
  <si>
    <t>PAY-202605-0170</t>
  </si>
  <si>
    <t>INV-202604-0141</t>
  </si>
  <si>
    <t>PAY-202605-0171</t>
  </si>
  <si>
    <t>PAY-202605-0172</t>
  </si>
  <si>
    <t>INV-202604-0232</t>
  </si>
  <si>
    <t>PAY-202605-0173</t>
  </si>
  <si>
    <t>INV-202604-0245</t>
  </si>
  <si>
    <t>PAY-202605-0174</t>
  </si>
  <si>
    <t>INV-202604-0280</t>
  </si>
  <si>
    <t>PAY-202605-0175</t>
  </si>
  <si>
    <t>PAY-202605-0176</t>
  </si>
  <si>
    <t>INV-202604-0268</t>
  </si>
  <si>
    <t>PAY-202605-0177</t>
  </si>
  <si>
    <t>INV-202604-0271</t>
  </si>
  <si>
    <t>PAY-202605-0178</t>
  </si>
  <si>
    <t>PAY-202605-0179</t>
  </si>
  <si>
    <t>INV-202605-0009</t>
  </si>
  <si>
    <t>PAY-202605-0180</t>
  </si>
  <si>
    <t>PAY-202605-0181</t>
  </si>
  <si>
    <t>INV-202605-0091</t>
  </si>
  <si>
    <t>PAY-202605-0182</t>
  </si>
  <si>
    <t>INV-202605-0107</t>
  </si>
  <si>
    <t>PAY-202605-0183</t>
  </si>
  <si>
    <t>INV-202605-0133</t>
  </si>
  <si>
    <t>PAY-202605-0184</t>
  </si>
  <si>
    <t>PAY-202605-0185</t>
  </si>
  <si>
    <t>INV-202605-0146</t>
  </si>
  <si>
    <t>PAY-202605-0186</t>
  </si>
  <si>
    <t>INV-202604-0044</t>
  </si>
  <si>
    <t>PAY-202605-0187</t>
  </si>
  <si>
    <t>PAY-202605-0188</t>
  </si>
  <si>
    <t>PAY-202605-0189</t>
  </si>
  <si>
    <t>PAY-202605-0190</t>
  </si>
  <si>
    <t>INV-202604-0295</t>
  </si>
  <si>
    <t>PAY-202605-0191</t>
  </si>
  <si>
    <t>INV-202605-0116</t>
  </si>
  <si>
    <t>PAY-202605-0192</t>
  </si>
  <si>
    <t>INV-202605-0174</t>
  </si>
  <si>
    <t>PAY-202605-0193</t>
  </si>
  <si>
    <t>INV-202604-0088</t>
  </si>
  <si>
    <t>PAY-202605-0194</t>
  </si>
  <si>
    <t>PAY-202605-0195</t>
  </si>
  <si>
    <t>INV-202604-0213</t>
  </si>
  <si>
    <t>PAY-202605-0196</t>
  </si>
  <si>
    <t>INV-202604-0240</t>
  </si>
  <si>
    <t>PAY-202605-0197</t>
  </si>
  <si>
    <t>INV-202604-0272</t>
  </si>
  <si>
    <t>PAY-202605-0198</t>
  </si>
  <si>
    <t>PAY-202605-0199</t>
  </si>
  <si>
    <t>INV-202605-0076</t>
  </si>
  <si>
    <t>PAY-202605-0200</t>
  </si>
  <si>
    <t>INV-202605-0152</t>
  </si>
  <si>
    <t>PAY-202605-0201</t>
  </si>
  <si>
    <t>INV-202604-0016</t>
  </si>
  <si>
    <t>PAY-202605-0202</t>
  </si>
  <si>
    <t>INV-202604-0024</t>
  </si>
  <si>
    <t>PAY-202605-0203</t>
  </si>
  <si>
    <t>PAY-202605-0204</t>
  </si>
  <si>
    <t>INV-202604-0243</t>
  </si>
  <si>
    <t>PAY-202605-0205</t>
  </si>
  <si>
    <t>INV-202605-0005</t>
  </si>
  <si>
    <t>PAY-202605-0206</t>
  </si>
  <si>
    <t>INV-202605-0108</t>
  </si>
  <si>
    <t>PAY-202605-0207</t>
  </si>
  <si>
    <t>INV-202605-0177</t>
  </si>
  <si>
    <t>PAY-202605-0208</t>
  </si>
  <si>
    <t>PAY-202605-0209</t>
  </si>
  <si>
    <t>INV-202604-0063</t>
  </si>
  <si>
    <t>PAY-202605-0210</t>
  </si>
  <si>
    <t>INV-202604-0173</t>
  </si>
  <si>
    <t>PAY-202605-0211</t>
  </si>
  <si>
    <t>INV-202604-0177</t>
  </si>
  <si>
    <t>PAY-202605-0212</t>
  </si>
  <si>
    <t>INV-202604-0186</t>
  </si>
  <si>
    <t>PAY-202605-0213</t>
  </si>
  <si>
    <t>INV-202605-0118</t>
  </si>
  <si>
    <t>PAY-202605-0214</t>
  </si>
  <si>
    <t>INV-202605-0126</t>
  </si>
  <si>
    <t>PAY-202605-0215</t>
  </si>
  <si>
    <t>INV-202605-0166</t>
  </si>
  <si>
    <t>PAY-202605-0216</t>
  </si>
  <si>
    <t>PAY-202605-0217</t>
  </si>
  <si>
    <t>INV-202605-0195</t>
  </si>
  <si>
    <t>PAY-202605-0218</t>
  </si>
  <si>
    <t>INV-202605-0227</t>
  </si>
  <si>
    <t>PAY-202605-0219</t>
  </si>
  <si>
    <t>INV-202605-0235</t>
  </si>
  <si>
    <t>PAY-202605-0220</t>
  </si>
  <si>
    <t>INV-202605-0902</t>
  </si>
  <si>
    <t>payments_2026-06.csv</t>
  </si>
  <si>
    <t>PAY-202606-0001</t>
  </si>
  <si>
    <t>INV-202604-0137</t>
  </si>
  <si>
    <t>PAY-202606-0002</t>
  </si>
  <si>
    <t>INV-202604-0152</t>
  </si>
  <si>
    <t>PAY-202606-0003</t>
  </si>
  <si>
    <t>INV-202604-0229</t>
  </si>
  <si>
    <t>PAY-202606-0004</t>
  </si>
  <si>
    <t>INV-202604-0259</t>
  </si>
  <si>
    <t>PAY-202606-0005</t>
  </si>
  <si>
    <t>PAY-202606-0006</t>
  </si>
  <si>
    <t>INV-202604-0284</t>
  </si>
  <si>
    <t>PAY-202606-0007</t>
  </si>
  <si>
    <t>INV-202605-0037</t>
  </si>
  <si>
    <t>PAY-202606-0008</t>
  </si>
  <si>
    <t>INV-202605-0070</t>
  </si>
  <si>
    <t>PAY-202606-0009</t>
  </si>
  <si>
    <t>INV-202605-0077</t>
  </si>
  <si>
    <t>PAY-202606-0010</t>
  </si>
  <si>
    <t>INV-202605-0183</t>
  </si>
  <si>
    <t>PAY-202606-0011</t>
  </si>
  <si>
    <t>INV-202604-0048</t>
  </si>
  <si>
    <t>PAY-202606-0012</t>
  </si>
  <si>
    <t>PAY-202606-0013</t>
  </si>
  <si>
    <t>INV-202604-0085</t>
  </si>
  <si>
    <t>PAY-202606-0014</t>
  </si>
  <si>
    <t>INV-202604-0283</t>
  </si>
  <si>
    <t>PAY-202606-0015</t>
  </si>
  <si>
    <t>INV-202605-0060</t>
  </si>
  <si>
    <t>PAY-202606-0016</t>
  </si>
  <si>
    <t>INV-202605-0100</t>
  </si>
  <si>
    <t>PAY-202606-0017</t>
  </si>
  <si>
    <t>INV-202605-0104</t>
  </si>
  <si>
    <t>PAY-202606-0018</t>
  </si>
  <si>
    <t>INV-202605-0132</t>
  </si>
  <si>
    <t>PAY-202606-0019</t>
  </si>
  <si>
    <t>PAY-202606-0020</t>
  </si>
  <si>
    <t>PAY-202606-0021</t>
  </si>
  <si>
    <t>PAY-202606-0022</t>
  </si>
  <si>
    <t>INV-202605-0028</t>
  </si>
  <si>
    <t>PAY-202606-0023</t>
  </si>
  <si>
    <t>INV-202605-0069</t>
  </si>
  <si>
    <t>PAY-202606-0024</t>
  </si>
  <si>
    <t>INV-202605-0158</t>
  </si>
  <si>
    <t>PAY-202606-0025</t>
  </si>
  <si>
    <t>INV-202605-0186</t>
  </si>
  <si>
    <t>PAY-202606-0026</t>
  </si>
  <si>
    <t>INV-202605-0231</t>
  </si>
  <si>
    <t>PAY-202606-0027</t>
  </si>
  <si>
    <t>INV-202605-0240</t>
  </si>
  <si>
    <t>PAY-202606-0028</t>
  </si>
  <si>
    <t>INV-202606-0016</t>
  </si>
  <si>
    <t>PAY-202606-0029</t>
  </si>
  <si>
    <t>INV-202606-0022</t>
  </si>
  <si>
    <t>PAY-202606-0030</t>
  </si>
  <si>
    <t>INV-202604-0034</t>
  </si>
  <si>
    <t>PAY-202606-0031</t>
  </si>
  <si>
    <t>PAY-202606-0032</t>
  </si>
  <si>
    <t>INV-202604-0162</t>
  </si>
  <si>
    <t>PAY-202606-0033</t>
  </si>
  <si>
    <t>INV-202604-0206</t>
  </si>
  <si>
    <t>PAY-202606-0034</t>
  </si>
  <si>
    <t>INV-202604-0255</t>
  </si>
  <si>
    <t>PAY-202606-0035</t>
  </si>
  <si>
    <t>INV-202604-0291</t>
  </si>
  <si>
    <t>PAY-202606-0036</t>
  </si>
  <si>
    <t>INV-202605-0149</t>
  </si>
  <si>
    <t>PAY-202606-0037</t>
  </si>
  <si>
    <t>INV-202605-0153</t>
  </si>
  <si>
    <t>PAY-202606-0038</t>
  </si>
  <si>
    <t>INV-202605-0197</t>
  </si>
  <si>
    <t>PAY-202606-0039</t>
  </si>
  <si>
    <t>INV-202605-0217</t>
  </si>
  <si>
    <t>PAY-202606-0040</t>
  </si>
  <si>
    <t>PAY-202606-0041</t>
  </si>
  <si>
    <t>INV-202605-0272</t>
  </si>
  <si>
    <t>PAY-202606-0042</t>
  </si>
  <si>
    <t>INV-202604-0127</t>
  </si>
  <si>
    <t>PAY-202606-0043</t>
  </si>
  <si>
    <t>INV-202604-0225</t>
  </si>
  <si>
    <t>PAY-202606-0044</t>
  </si>
  <si>
    <t>PAY-202606-0045</t>
  </si>
  <si>
    <t>INV-202605-0023</t>
  </si>
  <si>
    <t>PAY-202606-0046</t>
  </si>
  <si>
    <t>INV-202605-0106</t>
  </si>
  <si>
    <t>PAY-202606-0047</t>
  </si>
  <si>
    <t>INV-202605-0131</t>
  </si>
  <si>
    <t>PAY-202606-0048</t>
  </si>
  <si>
    <t>INV-202605-0211</t>
  </si>
  <si>
    <t>PAY-202606-0049</t>
  </si>
  <si>
    <t>INV-202605-0241</t>
  </si>
  <si>
    <t>PAY-202606-0050</t>
  </si>
  <si>
    <t>INV-202605-0253</t>
  </si>
  <si>
    <t>PAY-202606-0051</t>
  </si>
  <si>
    <t>INV-202604-0070</t>
  </si>
  <si>
    <t>PAY-202606-0052</t>
  </si>
  <si>
    <t>INV-202604-0071</t>
  </si>
  <si>
    <t>PAY-202606-0053</t>
  </si>
  <si>
    <t>INV-202605-0014</t>
  </si>
  <si>
    <t>PAY-202606-0054</t>
  </si>
  <si>
    <t>INV-202605-0031</t>
  </si>
  <si>
    <t>PAY-202606-0055</t>
  </si>
  <si>
    <t>INV-202605-0066</t>
  </si>
  <si>
    <t>PAY-202606-0056</t>
  </si>
  <si>
    <t>INV-202605-0113</t>
  </si>
  <si>
    <t>PAY-202606-0057</t>
  </si>
  <si>
    <t>INV-202605-0173</t>
  </si>
  <si>
    <t>PAY-202606-0058</t>
  </si>
  <si>
    <t>INV-202604-0139</t>
  </si>
  <si>
    <t>PAY-202606-0059</t>
  </si>
  <si>
    <t>INV-202605-0170</t>
  </si>
  <si>
    <t>PAY-202606-0060</t>
  </si>
  <si>
    <t>INV-202605-0212</t>
  </si>
  <si>
    <t>PAY-202606-0061</t>
  </si>
  <si>
    <t>INV-202605-0244</t>
  </si>
  <si>
    <t>PAY-202606-0062</t>
  </si>
  <si>
    <t>INV-202605-0245</t>
  </si>
  <si>
    <t>PAY-202606-0063</t>
  </si>
  <si>
    <t>INV-202605-0270</t>
  </si>
  <si>
    <t>PAY-202606-0064</t>
  </si>
  <si>
    <t>INV-202604-0224</t>
  </si>
  <si>
    <t>PAY-202606-0065</t>
  </si>
  <si>
    <t>INV-202605-0160</t>
  </si>
  <si>
    <t>PAY-202606-0066</t>
  </si>
  <si>
    <t>INV-202605-0167</t>
  </si>
  <si>
    <t>PAY-202606-0067</t>
  </si>
  <si>
    <t>INV-202605-0175</t>
  </si>
  <si>
    <t>PAY-202606-0068</t>
  </si>
  <si>
    <t>INV-202605-0193</t>
  </si>
  <si>
    <t>PAY-202606-0069</t>
  </si>
  <si>
    <t>INV-202605-0234</t>
  </si>
  <si>
    <t>PAY-202606-0070</t>
  </si>
  <si>
    <t>INV-202604-0170</t>
  </si>
  <si>
    <t>PAY-202606-0071</t>
  </si>
  <si>
    <t>PAY-202606-0072</t>
  </si>
  <si>
    <t>INV-202605-0024</t>
  </si>
  <si>
    <t>PAY-202606-0073</t>
  </si>
  <si>
    <t>INV-202605-0187</t>
  </si>
  <si>
    <t>PAY-202606-0074</t>
  </si>
  <si>
    <t>INV-202605-0190</t>
  </si>
  <si>
    <t>PAY-202606-0075</t>
  </si>
  <si>
    <t>INV-202605-0198</t>
  </si>
  <si>
    <t>PAY-202606-0076</t>
  </si>
  <si>
    <t>INV-202605-0251</t>
  </si>
  <si>
    <t>PAY-202606-0077</t>
  </si>
  <si>
    <t>INV-202604-0096</t>
  </si>
  <si>
    <t>PAY-202606-0078</t>
  </si>
  <si>
    <t>INV-202604-0121</t>
  </si>
  <si>
    <t>PAY-202606-0079</t>
  </si>
  <si>
    <t>INV-202605-0083</t>
  </si>
  <si>
    <t>PAY-202606-0080</t>
  </si>
  <si>
    <t>INV-202605-0162</t>
  </si>
  <si>
    <t>PAY-202606-0081</t>
  </si>
  <si>
    <t>INV-202605-0297</t>
  </si>
  <si>
    <t>PAY-202606-0082</t>
  </si>
  <si>
    <t>INV-202604-0017</t>
  </si>
  <si>
    <t>PAY-202606-0083</t>
  </si>
  <si>
    <t>INV-202604-0145</t>
  </si>
  <si>
    <t>PAY-202606-0084</t>
  </si>
  <si>
    <t>INV-202604-0228</t>
  </si>
  <si>
    <t>PAY-202606-0085</t>
  </si>
  <si>
    <t>INV-202605-0084</t>
  </si>
  <si>
    <t>PAY-202606-0086</t>
  </si>
  <si>
    <t>INV-202605-0147</t>
  </si>
  <si>
    <t>PAY-202606-0087</t>
  </si>
  <si>
    <t>PAY-202606-0088</t>
  </si>
  <si>
    <t>INV-202604-0159</t>
  </si>
  <si>
    <t>PAY-202606-0089</t>
  </si>
  <si>
    <t>INV-202604-0220</t>
  </si>
  <si>
    <t>PAY-202606-0090</t>
  </si>
  <si>
    <t>INV-202605-0040</t>
  </si>
  <si>
    <t>PAY-202606-0091</t>
  </si>
  <si>
    <t>INV-202605-0063</t>
  </si>
  <si>
    <t>PAY-202606-0092</t>
  </si>
  <si>
    <t>INV-202605-0191</t>
  </si>
  <si>
    <t>PAY-202606-0093</t>
  </si>
  <si>
    <t>INV-202605-0205</t>
  </si>
  <si>
    <t>PAY-202606-0094</t>
  </si>
  <si>
    <t>INV-202605-0265</t>
  </si>
  <si>
    <t>PAY-202606-0095</t>
  </si>
  <si>
    <t>INV-202606-0014</t>
  </si>
  <si>
    <t>PAY-202606-0096</t>
  </si>
  <si>
    <t>INV-202606-0025</t>
  </si>
  <si>
    <t>PAY-202606-0097</t>
  </si>
  <si>
    <t>INV-202606-0034</t>
  </si>
  <si>
    <t>PAY-202606-0098</t>
  </si>
  <si>
    <t>PAY-202606-0099</t>
  </si>
  <si>
    <t>INV-202605-0043</t>
  </si>
  <si>
    <t>PAY-202606-0100</t>
  </si>
  <si>
    <t>PAY-202606-0101</t>
  </si>
  <si>
    <t>INV-202605-0219</t>
  </si>
  <si>
    <t>PAY-202606-0102</t>
  </si>
  <si>
    <t>PAY-202606-0103</t>
  </si>
  <si>
    <t>INV-202604-0286</t>
  </si>
  <si>
    <t>PAY-202606-0104</t>
  </si>
  <si>
    <t>INV-202605-0010</t>
  </si>
  <si>
    <t>PAY-202606-0105</t>
  </si>
  <si>
    <t>INV-202605-0184</t>
  </si>
  <si>
    <t>PAY-202606-0106</t>
  </si>
  <si>
    <t>INV-202605-0257</t>
  </si>
  <si>
    <t>PAY-202606-0107</t>
  </si>
  <si>
    <t>INV-202606-0009</t>
  </si>
  <si>
    <t>PAY-202606-0108</t>
  </si>
  <si>
    <t>INV-202604-0222</t>
  </si>
  <si>
    <t>PAY-202606-0109</t>
  </si>
  <si>
    <t>PAY-202606-0110</t>
  </si>
  <si>
    <t>INV-202605-0090</t>
  </si>
  <si>
    <t>PAY-202606-0111</t>
  </si>
  <si>
    <t>INV-202605-0101</t>
  </si>
  <si>
    <t>PAY-202606-0112</t>
  </si>
  <si>
    <t>INV-202605-0130</t>
  </si>
  <si>
    <t>PAY-202606-0113</t>
  </si>
  <si>
    <t>INV-202605-0151</t>
  </si>
  <si>
    <t>PAY-202606-0114</t>
  </si>
  <si>
    <t>INV-202605-0168</t>
  </si>
  <si>
    <t>PAY-202606-0115</t>
  </si>
  <si>
    <t>INV-202605-0280</t>
  </si>
  <si>
    <t>PAY-202606-0116</t>
  </si>
  <si>
    <t>INV-202605-0284</t>
  </si>
  <si>
    <t>PAY-202606-0117</t>
  </si>
  <si>
    <t>INV-202606-0023</t>
  </si>
  <si>
    <t>PAY-202606-0118</t>
  </si>
  <si>
    <t>INV-202606-0112</t>
  </si>
  <si>
    <t>PAY-202606-0119</t>
  </si>
  <si>
    <t>INV-202606-0114</t>
  </si>
  <si>
    <t>PAY-202606-0120</t>
  </si>
  <si>
    <t>INV-202606-0126</t>
  </si>
  <si>
    <t>PAY-202606-0121</t>
  </si>
  <si>
    <t>INV-202606-0142</t>
  </si>
  <si>
    <t>PAY-202606-0122</t>
  </si>
  <si>
    <t>INV-202604-0073</t>
  </si>
  <si>
    <t>PAY-202606-0123</t>
  </si>
  <si>
    <t>INV-202604-0094</t>
  </si>
  <si>
    <t>PAY-202606-0124</t>
  </si>
  <si>
    <t>INV-202604-0207</t>
  </si>
  <si>
    <t>PAY-202606-0125</t>
  </si>
  <si>
    <t>INV-202604-0264</t>
  </si>
  <si>
    <t>PAY-202606-0126</t>
  </si>
  <si>
    <t>PAY-202606-0127</t>
  </si>
  <si>
    <t>INV-202605-0020</t>
  </si>
  <si>
    <t>PAY-202606-0128</t>
  </si>
  <si>
    <t>INV-202605-0196</t>
  </si>
  <si>
    <t>PAY-202606-0129</t>
  </si>
  <si>
    <t>INV-202605-0222</t>
  </si>
  <si>
    <t>PAY-202606-0130</t>
  </si>
  <si>
    <t>PAY-202606-0131</t>
  </si>
  <si>
    <t>INV-202604-0009</t>
  </si>
  <si>
    <t>PAY-202606-0132</t>
  </si>
  <si>
    <t>PAY-202606-0133</t>
  </si>
  <si>
    <t>INV-202605-0203</t>
  </si>
  <si>
    <t>PAY-202606-0134</t>
  </si>
  <si>
    <t>INV-202605-0249</t>
  </si>
  <si>
    <t>PAY-202606-0135</t>
  </si>
  <si>
    <t>PAY-202606-0136</t>
  </si>
  <si>
    <t>INV-202605-0274</t>
  </si>
  <si>
    <t>PAY-202606-0137</t>
  </si>
  <si>
    <t>INV-202605-0278</t>
  </si>
  <si>
    <t>PAY-202606-0138</t>
  </si>
  <si>
    <t>INV-202606-0037</t>
  </si>
  <si>
    <t>PAY-202606-0139</t>
  </si>
  <si>
    <t>INV-202606-0054</t>
  </si>
  <si>
    <t>PAY-202606-0140</t>
  </si>
  <si>
    <t>INV-202606-0098</t>
  </si>
  <si>
    <t>PAY-202606-0141</t>
  </si>
  <si>
    <t>INV-202604-0069</t>
  </si>
  <si>
    <t>PAY-202606-0142</t>
  </si>
  <si>
    <t>INV-202604-0081</t>
  </si>
  <si>
    <t>PAY-202606-0143</t>
  </si>
  <si>
    <t>INV-202604-0157</t>
  </si>
  <si>
    <t>PAY-202606-0144</t>
  </si>
  <si>
    <t>INV-202605-0035</t>
  </si>
  <si>
    <t>PAY-202606-0145</t>
  </si>
  <si>
    <t>INV-202605-0207</t>
  </si>
  <si>
    <t>PAY-202606-0146</t>
  </si>
  <si>
    <t>PAY-202606-0147</t>
  </si>
  <si>
    <t>INV-202606-0075</t>
  </si>
  <si>
    <t>PAY-202606-0148</t>
  </si>
  <si>
    <t>INV-202606-0113</t>
  </si>
  <si>
    <t>PAY-202606-0149</t>
  </si>
  <si>
    <t>INV-202606-0171</t>
  </si>
  <si>
    <t>PAY-202606-0150</t>
  </si>
  <si>
    <t>INV-202604-0209</t>
  </si>
  <si>
    <t>PAY-202606-0151</t>
  </si>
  <si>
    <t>INV-202605-0103</t>
  </si>
  <si>
    <t>PAY-202606-0152</t>
  </si>
  <si>
    <t>INV-202605-0105</t>
  </si>
  <si>
    <t>PAY-202606-0153</t>
  </si>
  <si>
    <t>INV-202605-0112</t>
  </si>
  <si>
    <t>PAY-202606-0154</t>
  </si>
  <si>
    <t>INV-202605-0246</t>
  </si>
  <si>
    <t>PAY-202606-0155</t>
  </si>
  <si>
    <t>INV-202605-0262</t>
  </si>
  <si>
    <t>PAY-202606-0156</t>
  </si>
  <si>
    <t>INV-202605-0300</t>
  </si>
  <si>
    <t>PAY-202606-0157</t>
  </si>
  <si>
    <t>INV-202606-0028</t>
  </si>
  <si>
    <t>PAY-202606-0158</t>
  </si>
  <si>
    <t>INV-202606-0059</t>
  </si>
  <si>
    <t>PAY-202606-0159</t>
  </si>
  <si>
    <t>INV-202606-0069</t>
  </si>
  <si>
    <t>PAY-202606-0160</t>
  </si>
  <si>
    <t>INV-202604-0182</t>
  </si>
  <si>
    <t>PAY-202606-0161</t>
  </si>
  <si>
    <t>INV-202604-0196</t>
  </si>
  <si>
    <t>PAY-202606-0162</t>
  </si>
  <si>
    <t>INV-202604-0231</t>
  </si>
  <si>
    <t>PAY-202606-0163</t>
  </si>
  <si>
    <t>INV-202605-0042</t>
  </si>
  <si>
    <t>PAY-202606-0164</t>
  </si>
  <si>
    <t>INV-202605-0082</t>
  </si>
  <si>
    <t>PAY-202606-0165</t>
  </si>
  <si>
    <t>INV-202605-0192</t>
  </si>
  <si>
    <t>PAY-202606-0166</t>
  </si>
  <si>
    <t>INV-202605-0283</t>
  </si>
  <si>
    <t>PAY-202606-0167</t>
  </si>
  <si>
    <t>INV-202606-0020</t>
  </si>
  <si>
    <t>PAY-202606-0168</t>
  </si>
  <si>
    <t>INV-202606-0044</t>
  </si>
  <si>
    <t>PAY-202606-0169</t>
  </si>
  <si>
    <t>INV-202606-0067</t>
  </si>
  <si>
    <t>PAY-202606-0170</t>
  </si>
  <si>
    <t>INV-202606-0099</t>
  </si>
  <si>
    <t>PAY-202606-0171</t>
  </si>
  <si>
    <t>INV-202604-0078</t>
  </si>
  <si>
    <t>PAY-202606-0172</t>
  </si>
  <si>
    <t>INV-202604-0174</t>
  </si>
  <si>
    <t>PAY-202606-0173</t>
  </si>
  <si>
    <t>INV-202605-0134</t>
  </si>
  <si>
    <t>PAY-202606-0174</t>
  </si>
  <si>
    <t>PAY-202606-0175</t>
  </si>
  <si>
    <t>INV-202605-0180</t>
  </si>
  <si>
    <t>PAY-202606-0176</t>
  </si>
  <si>
    <t>INV-202605-0181</t>
  </si>
  <si>
    <t>PAY-202606-0177</t>
  </si>
  <si>
    <t>PAY-202606-0178</t>
  </si>
  <si>
    <t>INV-202605-0233</t>
  </si>
  <si>
    <t>PAY-202606-0179</t>
  </si>
  <si>
    <t>INV-202605-0247</t>
  </si>
  <si>
    <t>PAY-202606-0180</t>
  </si>
  <si>
    <t>INV-202605-0281</t>
  </si>
  <si>
    <t>PAY-202606-0181</t>
  </si>
  <si>
    <t>INV-202606-0002</t>
  </si>
  <si>
    <t>PAY-202606-0182</t>
  </si>
  <si>
    <t>INV-202606-0019</t>
  </si>
  <si>
    <t>PAY-202606-0183</t>
  </si>
  <si>
    <t>INV-202606-0077</t>
  </si>
  <si>
    <t>PAY-202606-0184</t>
  </si>
  <si>
    <t>INV-202606-0106</t>
  </si>
  <si>
    <t>PAY-202606-0185</t>
  </si>
  <si>
    <t>INV-202606-0108</t>
  </si>
  <si>
    <t>PAY-202606-0186</t>
  </si>
  <si>
    <t>INV-202604-0275</t>
  </si>
  <si>
    <t>PAY-202606-0187</t>
  </si>
  <si>
    <t>INV-202605-0294</t>
  </si>
  <si>
    <t>PAY-202606-0188</t>
  </si>
  <si>
    <t>INV-202606-0003</t>
  </si>
  <si>
    <t>PAY-202606-0189</t>
  </si>
  <si>
    <t>INV-202605-0141</t>
  </si>
  <si>
    <t>PAY-202606-0190</t>
  </si>
  <si>
    <t>INV-202605-0154</t>
  </si>
  <si>
    <t>PAY-202606-0191</t>
  </si>
  <si>
    <t>INV-202605-0156</t>
  </si>
  <si>
    <t>PAY-202606-0192</t>
  </si>
  <si>
    <t>INV-202605-0163</t>
  </si>
  <si>
    <t>PAY-202606-0193</t>
  </si>
  <si>
    <t>INV-202605-0178</t>
  </si>
  <si>
    <t>PAY-202606-0194</t>
  </si>
  <si>
    <t>INV-202605-0252</t>
  </si>
  <si>
    <t>PAY-202606-0195</t>
  </si>
  <si>
    <t>INV-202605-0268</t>
  </si>
  <si>
    <t>PAY-202606-0196</t>
  </si>
  <si>
    <t>INV-202606-0013</t>
  </si>
  <si>
    <t>PAY-202606-0197</t>
  </si>
  <si>
    <t>INV-202606-0074</t>
  </si>
  <si>
    <t>PAY-202606-0198</t>
  </si>
  <si>
    <t>INV-202606-0091</t>
  </si>
  <si>
    <t>PAY-202606-0199</t>
  </si>
  <si>
    <t>INV-202605-0110</t>
  </si>
  <si>
    <t>PAY-202606-0200</t>
  </si>
  <si>
    <t>INV-202605-0114</t>
  </si>
  <si>
    <t>PAY-202606-0201</t>
  </si>
  <si>
    <t>INV-202605-0161</t>
  </si>
  <si>
    <t>PAY-202606-0202</t>
  </si>
  <si>
    <t>INV-202605-0201</t>
  </si>
  <si>
    <t>PAY-202606-0203</t>
  </si>
  <si>
    <t>INV-202605-0255</t>
  </si>
  <si>
    <t>PAY-202606-0204</t>
  </si>
  <si>
    <t>INV-202605-0260</t>
  </si>
  <si>
    <t>PAY-202606-0205</t>
  </si>
  <si>
    <t>PAY-202606-0206</t>
  </si>
  <si>
    <t>INV-202605-0290</t>
  </si>
  <si>
    <t>PAY-202606-0207</t>
  </si>
  <si>
    <t>INV-202606-0005</t>
  </si>
  <si>
    <t>PAY-202606-0208</t>
  </si>
  <si>
    <t>INV-202606-0011</t>
  </si>
  <si>
    <t>PAY-202606-0209</t>
  </si>
  <si>
    <t>INV-202606-0018</t>
  </si>
  <si>
    <t>PAY-202606-0210</t>
  </si>
  <si>
    <t>INV-202606-0027</t>
  </si>
  <si>
    <t>PAY-202606-0211</t>
  </si>
  <si>
    <t>INV-202606-0030</t>
  </si>
  <si>
    <t>PAY-202606-0212</t>
  </si>
  <si>
    <t>INV-202606-0046</t>
  </si>
  <si>
    <t>PAY-202606-0213</t>
  </si>
  <si>
    <t>INV-202606-0094</t>
  </si>
  <si>
    <t>PAY-202606-0214</t>
  </si>
  <si>
    <t>PAY-202606-0215</t>
  </si>
  <si>
    <t>INV-202606-0192</t>
  </si>
  <si>
    <t>PAY-202606-0216</t>
  </si>
  <si>
    <t>PAY-202606-0217</t>
  </si>
  <si>
    <t>INV-202604-0276</t>
  </si>
  <si>
    <t>PAY-202606-0218</t>
  </si>
  <si>
    <t>INV-202605-0202</t>
  </si>
  <si>
    <t>PAY-202606-0219</t>
  </si>
  <si>
    <t>INV-202605-0239</t>
  </si>
  <si>
    <t>PAY-202606-0220</t>
  </si>
  <si>
    <t>INV-202605-0248</t>
  </si>
  <si>
    <t>PAY-202606-0221</t>
  </si>
  <si>
    <t>INV-202606-0066</t>
  </si>
  <si>
    <t>PAY-202606-0222</t>
  </si>
  <si>
    <t>INV-202606-0070</t>
  </si>
  <si>
    <t>PAY-202606-0223</t>
  </si>
  <si>
    <t>INV-202606-0100</t>
  </si>
  <si>
    <t>PAY-202606-0224</t>
  </si>
  <si>
    <t>INV-202606-0135</t>
  </si>
  <si>
    <t>PAY-202606-0225</t>
  </si>
  <si>
    <t>PAY-202606-0226</t>
  </si>
  <si>
    <t>INV-202606-0155</t>
  </si>
  <si>
    <t>PAY-202606-0227</t>
  </si>
  <si>
    <t>INV-202606-0231</t>
  </si>
  <si>
    <t>PAY-202606-0228</t>
  </si>
  <si>
    <t>INV-202604-0028</t>
  </si>
  <si>
    <t>PAY-202606-0229</t>
  </si>
  <si>
    <t>INV-202604-0118</t>
  </si>
  <si>
    <t>PAY-202606-0230</t>
  </si>
  <si>
    <t>INV-202604-0253</t>
  </si>
  <si>
    <t>PAY-202606-0231</t>
  </si>
  <si>
    <t>INV-202604-0260</t>
  </si>
  <si>
    <t>PAY-202606-0232</t>
  </si>
  <si>
    <t>INV-202604-0274</t>
  </si>
  <si>
    <t>PAY-202606-0233</t>
  </si>
  <si>
    <t>INV-202605-0050</t>
  </si>
  <si>
    <t>PAY-202606-0234</t>
  </si>
  <si>
    <t>INV-202605-0081</t>
  </si>
  <si>
    <t>PAY-202606-0235</t>
  </si>
  <si>
    <t>PAY-202606-0236</t>
  </si>
  <si>
    <t>INV-202605-0140</t>
  </si>
  <si>
    <t>PAY-202606-0237</t>
  </si>
  <si>
    <t>INV-202605-0200</t>
  </si>
  <si>
    <t>PAY-202606-0238</t>
  </si>
  <si>
    <t>INV-202605-0214</t>
  </si>
  <si>
    <t>PAY-202606-0239</t>
  </si>
  <si>
    <t>INV-202605-0273</t>
  </si>
  <si>
    <t>PAY-202606-0240</t>
  </si>
  <si>
    <t>INV-202606-0062</t>
  </si>
  <si>
    <t>PAY-202606-0241</t>
  </si>
  <si>
    <t>PAY-202606-0242</t>
  </si>
  <si>
    <t>INV-202606-0153</t>
  </si>
  <si>
    <t>PAY-202606-0243</t>
  </si>
  <si>
    <t>INV-202606-0024</t>
  </si>
  <si>
    <t>PAY-202606-0244</t>
  </si>
  <si>
    <t>PAY-202606-0245</t>
  </si>
  <si>
    <t>INV-202606-0085</t>
  </si>
  <si>
    <t>PAY-202606-0246</t>
  </si>
  <si>
    <t>INV-202606-0134</t>
  </si>
  <si>
    <t>PAY-202606-0247</t>
  </si>
  <si>
    <t>INV-202606-0186</t>
  </si>
  <si>
    <t>PAY-202606-0248</t>
  </si>
  <si>
    <t>INV-202604-0130</t>
  </si>
  <si>
    <t>PAY-202606-0249</t>
  </si>
  <si>
    <t>INV-202605-0176</t>
  </si>
  <si>
    <t>PAY-202606-0250</t>
  </si>
  <si>
    <t>INV-202606-0015</t>
  </si>
  <si>
    <t>PAY-202606-0251</t>
  </si>
  <si>
    <t>INV-202606-0029</t>
  </si>
  <si>
    <t>PAY-202606-0252</t>
  </si>
  <si>
    <t>INV-202606-0031</t>
  </si>
  <si>
    <t>PAY-202606-0253</t>
  </si>
  <si>
    <t>INV-202606-0036</t>
  </si>
  <si>
    <t>PAY-202606-0254</t>
  </si>
  <si>
    <t>INV-202606-0064</t>
  </si>
  <si>
    <t>PAY-202606-0255</t>
  </si>
  <si>
    <t>INV-202606-0128</t>
  </si>
  <si>
    <t>PAY-202606-0256</t>
  </si>
  <si>
    <t>INV-202606-0137</t>
  </si>
  <si>
    <t>PAY-202606-0257</t>
  </si>
  <si>
    <t>PAY-202606-0258</t>
  </si>
  <si>
    <t>INV-202606-0141</t>
  </si>
  <si>
    <t>PAY-202606-0259</t>
  </si>
  <si>
    <t>PAY-202606-0260</t>
  </si>
  <si>
    <t>INV-202606-0178</t>
  </si>
  <si>
    <t>PAY-202606-0261</t>
  </si>
  <si>
    <t>INV-202606-0283</t>
  </si>
  <si>
    <t>PAY-202606-0262</t>
  </si>
  <si>
    <t>INV-202604-0124</t>
  </si>
  <si>
    <t>PAY-202606-0263</t>
  </si>
  <si>
    <t>INV-202604-0190</t>
  </si>
  <si>
    <t>PAY-202606-0264</t>
  </si>
  <si>
    <t>INV-202604-0226</t>
  </si>
  <si>
    <t>PAY-202606-0265</t>
  </si>
  <si>
    <t>INV-202604-0233</t>
  </si>
  <si>
    <t>PAY-202606-0266</t>
  </si>
  <si>
    <t>PAY-202606-0267</t>
  </si>
  <si>
    <t>INV-202605-0036</t>
  </si>
  <si>
    <t>PAY-202606-0268</t>
  </si>
  <si>
    <t>PAY-202606-0269</t>
  </si>
  <si>
    <t>INV-202606-0032</t>
  </si>
  <si>
    <t>PAY-202606-0270</t>
  </si>
  <si>
    <t>INV-202606-0103</t>
  </si>
  <si>
    <t>PAY-202606-0271</t>
  </si>
  <si>
    <t>INV-202606-0148</t>
  </si>
  <si>
    <t>PAY-202606-0272</t>
  </si>
  <si>
    <t>INV-202604-0021</t>
  </si>
  <si>
    <t>PAY-202606-0273</t>
  </si>
  <si>
    <t>PAY-202606-0274</t>
  </si>
  <si>
    <t>INV-202604-0142</t>
  </si>
  <si>
    <t>PAY-202606-0275</t>
  </si>
  <si>
    <t>INV-202604-0249</t>
  </si>
  <si>
    <t>PAY-202606-0276</t>
  </si>
  <si>
    <t>PAY-202606-0277</t>
  </si>
  <si>
    <t>INV-202605-0051</t>
  </si>
  <si>
    <t>PAY-202606-0278</t>
  </si>
  <si>
    <t>INV-202605-0216</t>
  </si>
  <si>
    <t>PAY-202606-0279</t>
  </si>
  <si>
    <t>INV-202606-0052</t>
  </si>
  <si>
    <t>PAY-202606-0280</t>
  </si>
  <si>
    <t>INV-202606-0125</t>
  </si>
  <si>
    <t>PAY-202606-0281</t>
  </si>
  <si>
    <t>PAY-202606-0282</t>
  </si>
  <si>
    <t>INV-202606-0182</t>
  </si>
  <si>
    <t>PAY-202606-0283</t>
  </si>
  <si>
    <t>INV-202606-0193</t>
  </si>
  <si>
    <t>PAY-202606-0284</t>
  </si>
  <si>
    <t>INV-202606-0277</t>
  </si>
  <si>
    <t>PAY-202606-0285</t>
  </si>
  <si>
    <t>INV-202606-0296</t>
  </si>
  <si>
    <t>PAY-202606-0286</t>
  </si>
  <si>
    <t>INV-202606-0906</t>
  </si>
  <si>
    <t>payments_2026-07.csv</t>
  </si>
  <si>
    <t>PAY-202607-0001</t>
  </si>
  <si>
    <t>INV-202604-0002</t>
  </si>
  <si>
    <t>PAY-202607-0002</t>
  </si>
  <si>
    <t>INV-202606-0095</t>
  </si>
  <si>
    <t>PAY-202607-0003</t>
  </si>
  <si>
    <t>PAY-202607-0004</t>
  </si>
  <si>
    <t>INV-202606-0122</t>
  </si>
  <si>
    <t>PAY-202607-0005</t>
  </si>
  <si>
    <t>INV-202606-0131</t>
  </si>
  <si>
    <t>PAY-202607-0006</t>
  </si>
  <si>
    <t>PAY-202607-0007</t>
  </si>
  <si>
    <t>INV-202605-0285</t>
  </si>
  <si>
    <t>PAY-202607-0008</t>
  </si>
  <si>
    <t>PAY-202607-0009</t>
  </si>
  <si>
    <t>INV-202606-0049</t>
  </si>
  <si>
    <t>PAY-202607-0010</t>
  </si>
  <si>
    <t>INV-202607-0006</t>
  </si>
  <si>
    <t>PAY-202607-0011</t>
  </si>
  <si>
    <t>PAY-202607-0012</t>
  </si>
  <si>
    <t>PAY-202607-0013</t>
  </si>
  <si>
    <t>INV-202606-0124</t>
  </si>
  <si>
    <t>PAY-202607-0014</t>
  </si>
  <si>
    <t>INV-202606-0159</t>
  </si>
  <si>
    <t>PAY-202607-0015</t>
  </si>
  <si>
    <t>INV-202606-0063</t>
  </si>
  <si>
    <t>PAY-202607-0016</t>
  </si>
  <si>
    <t>INV-202606-0082</t>
  </si>
  <si>
    <t>PAY-202607-0017</t>
  </si>
  <si>
    <t>INV-202604-0126</t>
  </si>
  <si>
    <t>PAY-202607-0018</t>
  </si>
  <si>
    <t>INV-202605-0121</t>
  </si>
  <si>
    <t>PAY-202607-0019</t>
  </si>
  <si>
    <t>PAY-202607-0020</t>
  </si>
  <si>
    <t>INV-202604-0223</t>
  </si>
  <si>
    <t>PAY-202607-0021</t>
  </si>
  <si>
    <t>INV-202605-0148</t>
  </si>
  <si>
    <t>PAY-202607-0022</t>
  </si>
  <si>
    <t>INV-202606-0133</t>
  </si>
  <si>
    <t>PAY-202607-0023</t>
  </si>
  <si>
    <t>INV-202604-0019</t>
  </si>
  <si>
    <t>PAY-202607-0024</t>
  </si>
  <si>
    <t>INV-202605-0049</t>
  </si>
  <si>
    <t>PAY-202607-0025</t>
  </si>
  <si>
    <t>PAY-202607-0026</t>
  </si>
  <si>
    <t>INV-202606-0107</t>
  </si>
  <si>
    <t>PAY-202607-0027</t>
  </si>
  <si>
    <t>INV-202604-0014</t>
  </si>
  <si>
    <t>PAY-202607-0028</t>
  </si>
  <si>
    <t>INV-202604-0110</t>
  </si>
  <si>
    <t>PAY-202607-0029</t>
  </si>
  <si>
    <t>INV-202604-0155</t>
  </si>
  <si>
    <t>PAY-202607-0030</t>
  </si>
  <si>
    <t>INV-202604-0200</t>
  </si>
  <si>
    <t>PAY-202607-0031</t>
  </si>
  <si>
    <t>INV-202605-0261</t>
  </si>
  <si>
    <t>PAY-202607-0032</t>
  </si>
  <si>
    <t>INV-202606-0056</t>
  </si>
  <si>
    <t>PAY-202607-0033</t>
  </si>
  <si>
    <t>INV-202606-0162</t>
  </si>
  <si>
    <t>PAY-202607-0034</t>
  </si>
  <si>
    <t>INV-202606-0180</t>
  </si>
  <si>
    <t>PAY-202607-0035</t>
  </si>
  <si>
    <t>INV-202606-0240</t>
  </si>
  <si>
    <t>PAY-202607-0036</t>
  </si>
  <si>
    <t>INV-202606-0252</t>
  </si>
  <si>
    <t>PAY-202607-0037</t>
  </si>
  <si>
    <t>PAY-202607-0038</t>
  </si>
  <si>
    <t>PAY-202607-0039</t>
  </si>
  <si>
    <t>PAY-202607-0040</t>
  </si>
  <si>
    <t>INV-202605-0032</t>
  </si>
  <si>
    <t>PAY-202607-0041</t>
  </si>
  <si>
    <t>INV-202606-0068</t>
  </si>
  <si>
    <t>PAY-202607-0042</t>
  </si>
  <si>
    <t>INV-202606-0210</t>
  </si>
  <si>
    <t>PAY-202607-0043</t>
  </si>
  <si>
    <t>INV-202606-0230</t>
  </si>
  <si>
    <t>PAY-202607-0044</t>
  </si>
  <si>
    <t>INV-202607-0013</t>
  </si>
  <si>
    <t>PAY-202607-0045</t>
  </si>
  <si>
    <t>INV-202604-0161</t>
  </si>
  <si>
    <t>PAY-202607-0046</t>
  </si>
  <si>
    <t>INV-202605-0276</t>
  </si>
  <si>
    <t>PAY-202607-0047</t>
  </si>
  <si>
    <t>INV-202606-0256</t>
  </si>
  <si>
    <t>PAY-202607-0048</t>
  </si>
  <si>
    <t>INV-202605-0027</t>
  </si>
  <si>
    <t>PAY-202607-0049</t>
  </si>
  <si>
    <t>INV-202605-0204</t>
  </si>
  <si>
    <t>PAY-202607-0050</t>
  </si>
  <si>
    <t>INV-202606-0265</t>
  </si>
  <si>
    <t>PAY-202607-0051</t>
  </si>
  <si>
    <t>INV-202606-0280</t>
  </si>
  <si>
    <t>PAY-202607-0052</t>
  </si>
  <si>
    <t>INV-202607-0099</t>
  </si>
  <si>
    <t>PAY-202607-0053</t>
  </si>
  <si>
    <t>INV-202604-0256</t>
  </si>
  <si>
    <t>PAY-202607-0054</t>
  </si>
  <si>
    <t>INV-202605-0145</t>
  </si>
  <si>
    <t>PAY-202607-0055</t>
  </si>
  <si>
    <t>INV-202606-0076</t>
  </si>
  <si>
    <t>PAY-202607-0056</t>
  </si>
  <si>
    <t>PAY-202607-0057</t>
  </si>
  <si>
    <t>INV-202606-0078</t>
  </si>
  <si>
    <t>PAY-202607-0058</t>
  </si>
  <si>
    <t>PAY-202607-0059</t>
  </si>
  <si>
    <t>INV-202606-0247</t>
  </si>
  <si>
    <t>PAY-202607-0060</t>
  </si>
  <si>
    <t>INV-202606-0266</t>
  </si>
  <si>
    <t>PAY-202607-0061</t>
  </si>
  <si>
    <t>INV-202605-0179</t>
  </si>
  <si>
    <t>PAY-202607-0062</t>
  </si>
  <si>
    <t>INV-202606-0188</t>
  </si>
  <si>
    <t>PAY-202607-0063</t>
  </si>
  <si>
    <t>INV-202606-0299</t>
  </si>
  <si>
    <t>PAY-202607-0064</t>
  </si>
  <si>
    <t>INV-202607-0032</t>
  </si>
  <si>
    <t>PAY-202607-0065</t>
  </si>
  <si>
    <t>INV-202605-0079</t>
  </si>
  <si>
    <t>PAY-202607-0066</t>
  </si>
  <si>
    <t>INV-202606-0177</t>
  </si>
  <si>
    <t>PAY-202607-0067</t>
  </si>
  <si>
    <t>INV-202606-0224</t>
  </si>
  <si>
    <t>PAY-202607-0068</t>
  </si>
  <si>
    <t>INV-202606-0239</t>
  </si>
  <si>
    <t>PAY-202607-0069</t>
  </si>
  <si>
    <t>INV-202606-0253</t>
  </si>
  <si>
    <t>PAY-202607-0070</t>
  </si>
  <si>
    <t>INV-202606-0041</t>
  </si>
  <si>
    <t>PAY-202607-0071</t>
  </si>
  <si>
    <t>INV-202606-0271</t>
  </si>
  <si>
    <t>PAY-202607-0072</t>
  </si>
  <si>
    <t>INV-202606-0293</t>
  </si>
  <si>
    <t>PAY-202607-0073</t>
  </si>
  <si>
    <t>PAY-202607-0074</t>
  </si>
  <si>
    <t>INV-202606-0138</t>
  </si>
  <si>
    <t>PAY-202607-0075</t>
  </si>
  <si>
    <t>INV-202606-0187</t>
  </si>
  <si>
    <t>PAY-202607-0076</t>
  </si>
  <si>
    <t>INV-202605-0115</t>
  </si>
  <si>
    <t>PAY-202607-0077</t>
  </si>
  <si>
    <t>INV-202607-0080</t>
  </si>
  <si>
    <t>PAY-202607-0078</t>
  </si>
  <si>
    <t>INV-202605-0033</t>
  </si>
  <si>
    <t>PAY-202607-0079</t>
  </si>
  <si>
    <t>INV-202605-0298</t>
  </si>
  <si>
    <t>PAY-202607-0080</t>
  </si>
  <si>
    <t>INV-202606-0042</t>
  </si>
  <si>
    <t>PAY-202607-0081</t>
  </si>
  <si>
    <t>INV-202606-0173</t>
  </si>
  <si>
    <t>PAY-202607-0082</t>
  </si>
  <si>
    <t>INV-202606-0273</t>
  </si>
  <si>
    <t>PAY-202607-0083</t>
  </si>
  <si>
    <t>INV-202607-0010</t>
  </si>
  <si>
    <t>PAY-202607-0084</t>
  </si>
  <si>
    <t>INV-202607-0059</t>
  </si>
  <si>
    <t>PAY-202607-0085</t>
  </si>
  <si>
    <t>INV-202607-0166</t>
  </si>
  <si>
    <t>PAY-202607-0086</t>
  </si>
  <si>
    <t>INV-202606-0117</t>
  </si>
  <si>
    <t>PAY-202607-0087</t>
  </si>
  <si>
    <t>PAY-202607-0088</t>
  </si>
  <si>
    <t>INV-202606-0223</t>
  </si>
  <si>
    <t>PAY-202607-0089</t>
  </si>
  <si>
    <t>INV-202607-0038</t>
  </si>
  <si>
    <t>PAY-202607-0090</t>
  </si>
  <si>
    <t>INV-202607-0075</t>
  </si>
  <si>
    <t>PAY-202607-0091</t>
  </si>
  <si>
    <t>INV-202607-0171</t>
  </si>
  <si>
    <t>PAY-202607-0092</t>
  </si>
  <si>
    <t>INV-202605-0224</t>
  </si>
  <si>
    <t>PAY-202607-0093</t>
  </si>
  <si>
    <t>INV-202607-0022</t>
  </si>
  <si>
    <t>PAY-202607-0094</t>
  </si>
  <si>
    <t>INV-202607-0060</t>
  </si>
  <si>
    <t>PAY-202607-0095</t>
  </si>
  <si>
    <t>INV-202607-0100</t>
  </si>
  <si>
    <t>PAY-202607-0096</t>
  </si>
  <si>
    <t>PAY-202607-0097</t>
  </si>
  <si>
    <t>INV-202607-0065</t>
  </si>
  <si>
    <t>PAY-202607-0098</t>
  </si>
  <si>
    <t>INV-202604-0248</t>
  </si>
  <si>
    <t>PAY-202607-0099</t>
  </si>
  <si>
    <t>INV-202606-0267</t>
  </si>
  <si>
    <t>PAY-202607-0100</t>
  </si>
  <si>
    <t>INV-202607-0123</t>
  </si>
  <si>
    <t>PAY-202607-0101</t>
  </si>
  <si>
    <t>INV-202605-0065</t>
  </si>
  <si>
    <t>PAY-202607-0102</t>
  </si>
  <si>
    <t>INV-202605-0242</t>
  </si>
  <si>
    <t>PAY-202607-0103</t>
  </si>
  <si>
    <t>INV-202606-0190</t>
  </si>
  <si>
    <t>PAY-202607-0104</t>
  </si>
  <si>
    <t>INV-202606-0287</t>
  </si>
  <si>
    <t>PAY-202607-0105</t>
  </si>
  <si>
    <t>INV-202605-0034</t>
  </si>
  <si>
    <t>PAY-202607-0106</t>
  </si>
  <si>
    <t>INV-202605-0089</t>
  </si>
  <si>
    <t>PAY-202607-0107</t>
  </si>
  <si>
    <t>INV-202607-0110</t>
  </si>
  <si>
    <t>PAY-202607-0108</t>
  </si>
  <si>
    <t>INV-202607-0247</t>
  </si>
  <si>
    <t>PAY-202607-0109</t>
  </si>
  <si>
    <t>INV-202605-0172</t>
  </si>
  <si>
    <t>PAY-202607-0110</t>
  </si>
  <si>
    <t>PAY-202607-0111</t>
  </si>
  <si>
    <t>PAY-202607-0112</t>
  </si>
  <si>
    <t>INV-202607-0106</t>
  </si>
  <si>
    <t>PAY-202607-0113</t>
  </si>
  <si>
    <t>INV-202607-0138</t>
  </si>
  <si>
    <t>PAY-202607-0114</t>
  </si>
  <si>
    <t>INV-202607-0190</t>
  </si>
  <si>
    <t>PAY-202607-0115</t>
  </si>
  <si>
    <t>INV-202604-0113</t>
  </si>
  <si>
    <t>PAY-202607-0116</t>
  </si>
  <si>
    <t>INV-202606-0008</t>
  </si>
  <si>
    <t>PAY-202607-0117</t>
  </si>
  <si>
    <t>INV-202606-0166</t>
  </si>
  <si>
    <t>PAY-202607-0118</t>
  </si>
  <si>
    <t>INV-202607-0041</t>
  </si>
  <si>
    <t>PAY-202607-0119</t>
  </si>
  <si>
    <t>INV-202607-0133</t>
  </si>
  <si>
    <t>PAY-202607-0120</t>
  </si>
  <si>
    <t>INV-202607-0072</t>
  </si>
  <si>
    <t>PAY-202607-0121</t>
  </si>
  <si>
    <t>INV-202607-0908</t>
  </si>
  <si>
    <t>payments_2026-08.csv</t>
  </si>
  <si>
    <t>PAY-202608-0001</t>
  </si>
  <si>
    <t>INV-202605-0022</t>
  </si>
  <si>
    <t>PAY-202608-0002</t>
  </si>
  <si>
    <t>PAY-202608-0003</t>
  </si>
  <si>
    <t>INV-202605-0208</t>
  </si>
  <si>
    <t>PAY-202608-0004</t>
  </si>
  <si>
    <t>INV-202605-0279</t>
  </si>
  <si>
    <t>PAY-202608-0005</t>
  </si>
  <si>
    <t>INV-202606-0071</t>
  </si>
  <si>
    <t>PAY-202608-0006</t>
  </si>
  <si>
    <t>PAY-202608-0007</t>
  </si>
  <si>
    <t>INV-202606-0175</t>
  </si>
  <si>
    <t>PAY-202608-0008</t>
  </si>
  <si>
    <t>INV-202606-0225</t>
  </si>
  <si>
    <t>PAY-202608-0009</t>
  </si>
  <si>
    <t>INV-202606-0281</t>
  </si>
  <si>
    <t>PAY-202608-0010</t>
  </si>
  <si>
    <t>INV-202607-0033</t>
  </si>
  <si>
    <t>PAY-202608-0011</t>
  </si>
  <si>
    <t>INV-202607-0034</t>
  </si>
  <si>
    <t>PAY-202608-0012</t>
  </si>
  <si>
    <t>INV-202607-0222</t>
  </si>
  <si>
    <t>PAY-202608-0013</t>
  </si>
  <si>
    <t>INV-202607-0235</t>
  </si>
  <si>
    <t>PAY-202608-0014</t>
  </si>
  <si>
    <t>INV-202607-0277</t>
  </si>
  <si>
    <t>PAY-202608-0015</t>
  </si>
  <si>
    <t>INV-202604-0273</t>
  </si>
  <si>
    <t>PAY-202608-0016</t>
  </si>
  <si>
    <t>PAY-202608-0017</t>
  </si>
  <si>
    <t>INV-202605-0046</t>
  </si>
  <si>
    <t>PAY-202608-0018</t>
  </si>
  <si>
    <t>INV-202605-0143</t>
  </si>
  <si>
    <t>PAY-202608-0019</t>
  </si>
  <si>
    <t>PAY-202608-0020</t>
  </si>
  <si>
    <t>INV-202606-0158</t>
  </si>
  <si>
    <t>PAY-202608-0021</t>
  </si>
  <si>
    <t>INV-202606-0195</t>
  </si>
  <si>
    <t>PAY-202608-0022</t>
  </si>
  <si>
    <t>INV-202606-0292</t>
  </si>
  <si>
    <t>PAY-202608-0023</t>
  </si>
  <si>
    <t>INV-202607-0002</t>
  </si>
  <si>
    <t>PAY-202608-0024</t>
  </si>
  <si>
    <t>INV-202607-0004</t>
  </si>
  <si>
    <t>PAY-202608-0025</t>
  </si>
  <si>
    <t>INV-202607-0018</t>
  </si>
  <si>
    <t>PAY-202608-0026</t>
  </si>
  <si>
    <t>INV-202607-0040</t>
  </si>
  <si>
    <t>PAY-202608-0027</t>
  </si>
  <si>
    <t>INV-202607-0051</t>
  </si>
  <si>
    <t>PAY-202608-0028</t>
  </si>
  <si>
    <t>INV-202607-0115</t>
  </si>
  <si>
    <t>PAY-202608-0029</t>
  </si>
  <si>
    <t>INV-202607-0140</t>
  </si>
  <si>
    <t>PAY-202608-0030</t>
  </si>
  <si>
    <t>INV-202607-0242</t>
  </si>
  <si>
    <t>PAY-202608-0031</t>
  </si>
  <si>
    <t>PAY-202608-0032</t>
  </si>
  <si>
    <t>INV-202605-0056</t>
  </si>
  <si>
    <t>PAY-202608-0033</t>
  </si>
  <si>
    <t>INV-202605-0264</t>
  </si>
  <si>
    <t>PAY-202608-0034</t>
  </si>
  <si>
    <t>INV-202606-0043</t>
  </si>
  <si>
    <t>PAY-202608-0035</t>
  </si>
  <si>
    <t>INV-202606-0086</t>
  </si>
  <si>
    <t>PAY-202608-0036</t>
  </si>
  <si>
    <t>INV-202606-0101</t>
  </si>
  <si>
    <t>PAY-202608-0037</t>
  </si>
  <si>
    <t>INV-202606-0146</t>
  </si>
  <si>
    <t>PAY-202608-0038</t>
  </si>
  <si>
    <t>INV-202606-0199</t>
  </si>
  <si>
    <t>PAY-202608-0039</t>
  </si>
  <si>
    <t>INV-202606-0204</t>
  </si>
  <si>
    <t>PAY-202608-0040</t>
  </si>
  <si>
    <t>INV-202606-0228</t>
  </si>
  <si>
    <t>PAY-202608-0041</t>
  </si>
  <si>
    <t>INV-202607-0026</t>
  </si>
  <si>
    <t>PAY-202608-0042</t>
  </si>
  <si>
    <t>INV-202607-0056</t>
  </si>
  <si>
    <t>PAY-202608-0043</t>
  </si>
  <si>
    <t>INV-202604-0150</t>
  </si>
  <si>
    <t>PAY-202608-0044</t>
  </si>
  <si>
    <t>INV-202605-0120</t>
  </si>
  <si>
    <t>PAY-202608-0045</t>
  </si>
  <si>
    <t>INV-202605-0139</t>
  </si>
  <si>
    <t>PAY-202608-0046</t>
  </si>
  <si>
    <t>INV-202605-0150</t>
  </si>
  <si>
    <t>PAY-202608-0047</t>
  </si>
  <si>
    <t>INV-202605-0218</t>
  </si>
  <si>
    <t>PAY-202608-0048</t>
  </si>
  <si>
    <t>INV-202606-0218</t>
  </si>
  <si>
    <t>PAY-202608-0049</t>
  </si>
  <si>
    <t>INV-202606-0246</t>
  </si>
  <si>
    <t>PAY-202608-0050</t>
  </si>
  <si>
    <t>INV-202606-0261</t>
  </si>
  <si>
    <t>PAY-202608-0051</t>
  </si>
  <si>
    <t>PAY-202608-0052</t>
  </si>
  <si>
    <t>PAY-202608-0053</t>
  </si>
  <si>
    <t>INV-202607-0017</t>
  </si>
  <si>
    <t>PAY-202608-0054</t>
  </si>
  <si>
    <t>INV-202607-0067</t>
  </si>
  <si>
    <t>PAY-202608-0055</t>
  </si>
  <si>
    <t>INV-202607-0069</t>
  </si>
  <si>
    <t>PAY-202608-0056</t>
  </si>
  <si>
    <t>INV-202607-0092</t>
  </si>
  <si>
    <t>PAY-202608-0057</t>
  </si>
  <si>
    <t>INV-202607-0108</t>
  </si>
  <si>
    <t>PAY-202608-0058</t>
  </si>
  <si>
    <t>INV-202607-0126</t>
  </si>
  <si>
    <t>PAY-202608-0059</t>
  </si>
  <si>
    <t>INV-202607-0142</t>
  </si>
  <si>
    <t>PAY-202608-0060</t>
  </si>
  <si>
    <t>INV-202607-0152</t>
  </si>
  <si>
    <t>PAY-202608-0061</t>
  </si>
  <si>
    <t>INV-202607-0217</t>
  </si>
  <si>
    <t>PAY-202608-0062</t>
  </si>
  <si>
    <t>INV-202605-0210</t>
  </si>
  <si>
    <t>PAY-202608-0063</t>
  </si>
  <si>
    <t>INV-202605-0271</t>
  </si>
  <si>
    <t>PAY-202608-0064</t>
  </si>
  <si>
    <t>INV-202606-0035</t>
  </si>
  <si>
    <t>PAY-202608-0065</t>
  </si>
  <si>
    <t>INV-202606-0140</t>
  </si>
  <si>
    <t>PAY-202608-0066</t>
  </si>
  <si>
    <t>INV-202606-0169</t>
  </si>
  <si>
    <t>PAY-202608-0067</t>
  </si>
  <si>
    <t>INV-202606-0172</t>
  </si>
  <si>
    <t>PAY-202608-0068</t>
  </si>
  <si>
    <t>INV-202606-0227</t>
  </si>
  <si>
    <t>PAY-202608-0069</t>
  </si>
  <si>
    <t>PAY-202608-0070</t>
  </si>
  <si>
    <t>INV-202607-0076</t>
  </si>
  <si>
    <t>PAY-202608-0071</t>
  </si>
  <si>
    <t>INV-202607-0122</t>
  </si>
  <si>
    <t>PAY-202608-0072</t>
  </si>
  <si>
    <t>INV-202608-0027</t>
  </si>
  <si>
    <t>PAY-202608-0073</t>
  </si>
  <si>
    <t>INV-202605-0243</t>
  </si>
  <si>
    <t>PAY-202608-0074</t>
  </si>
  <si>
    <t>INV-202605-0259</t>
  </si>
  <si>
    <t>PAY-202608-0075</t>
  </si>
  <si>
    <t>INV-202606-0033</t>
  </si>
  <si>
    <t>PAY-202608-0076</t>
  </si>
  <si>
    <t>INV-202606-0110</t>
  </si>
  <si>
    <t>PAY-202608-0077</t>
  </si>
  <si>
    <t>INV-202606-0132</t>
  </si>
  <si>
    <t>PAY-202608-0078</t>
  </si>
  <si>
    <t>INV-202606-0244</t>
  </si>
  <si>
    <t>PAY-202608-0079</t>
  </si>
  <si>
    <t>INV-202606-0257</t>
  </si>
  <si>
    <t>PAY-202608-0080</t>
  </si>
  <si>
    <t>INV-202607-0064</t>
  </si>
  <si>
    <t>PAY-202608-0081</t>
  </si>
  <si>
    <t>INV-202607-0083</t>
  </si>
  <si>
    <t>PAY-202608-0082</t>
  </si>
  <si>
    <t>PAY-202608-0083</t>
  </si>
  <si>
    <t>INV-202607-0148</t>
  </si>
  <si>
    <t>PAY-202608-0084</t>
  </si>
  <si>
    <t>INV-202607-0178</t>
  </si>
  <si>
    <t>PAY-202608-0085</t>
  </si>
  <si>
    <t>INV-202607-0197</t>
  </si>
  <si>
    <t>PAY-202608-0086</t>
  </si>
  <si>
    <t>PAY-202608-0087</t>
  </si>
  <si>
    <t>INV-202607-0207</t>
  </si>
  <si>
    <t>PAY-202608-0088</t>
  </si>
  <si>
    <t>INV-202607-0234</t>
  </si>
  <si>
    <t>PAY-202608-0089</t>
  </si>
  <si>
    <t>INV-202607-0238</t>
  </si>
  <si>
    <t>PAY-202608-0090</t>
  </si>
  <si>
    <t>INV-202607-0240</t>
  </si>
  <si>
    <t>PAY-202608-0091</t>
  </si>
  <si>
    <t>INV-202607-0259</t>
  </si>
  <si>
    <t>PAY-202608-0092</t>
  </si>
  <si>
    <t>INV-202604-0236</t>
  </si>
  <si>
    <t>PAY-202608-0093</t>
  </si>
  <si>
    <t>INV-202606-0012</t>
  </si>
  <si>
    <t>PAY-202608-0094</t>
  </si>
  <si>
    <t>INV-202606-0092</t>
  </si>
  <si>
    <t>PAY-202608-0095</t>
  </si>
  <si>
    <t>INV-202606-0143</t>
  </si>
  <si>
    <t>PAY-202608-0096</t>
  </si>
  <si>
    <t>INV-202606-0220</t>
  </si>
  <si>
    <t>PAY-202608-0097</t>
  </si>
  <si>
    <t>INV-202606-0232</t>
  </si>
  <si>
    <t>PAY-202608-0098</t>
  </si>
  <si>
    <t>INV-202607-0005</t>
  </si>
  <si>
    <t>PAY-202608-0099</t>
  </si>
  <si>
    <t>INV-202607-0023</t>
  </si>
  <si>
    <t>PAY-202608-0100</t>
  </si>
  <si>
    <t>INV-202607-0024</t>
  </si>
  <si>
    <t>PAY-202608-0101</t>
  </si>
  <si>
    <t>INV-202607-0074</t>
  </si>
  <si>
    <t>PAY-202608-0102</t>
  </si>
  <si>
    <t>INV-202607-0082</t>
  </si>
  <si>
    <t>PAY-202608-0103</t>
  </si>
  <si>
    <t>PAY-202608-0104</t>
  </si>
  <si>
    <t>INV-202607-0088</t>
  </si>
  <si>
    <t>PAY-202608-0105</t>
  </si>
  <si>
    <t>INV-202607-0097</t>
  </si>
  <si>
    <t>PAY-202608-0106</t>
  </si>
  <si>
    <t>INV-202607-0130</t>
  </si>
  <si>
    <t>PAY-202608-0107</t>
  </si>
  <si>
    <t>INV-202607-0151</t>
  </si>
  <si>
    <t>PAY-202608-0108</t>
  </si>
  <si>
    <t>INV-202607-0192</t>
  </si>
  <si>
    <t>PAY-202608-0109</t>
  </si>
  <si>
    <t>INV-202607-0250</t>
  </si>
  <si>
    <t>PAY-202608-0110</t>
  </si>
  <si>
    <t>INV-202607-0266</t>
  </si>
  <si>
    <t>PAY-202608-0111</t>
  </si>
  <si>
    <t>INV-202608-0005</t>
  </si>
  <si>
    <t>PAY-202608-0112</t>
  </si>
  <si>
    <t>INV-202608-0016</t>
  </si>
  <si>
    <t>PAY-202608-0113</t>
  </si>
  <si>
    <t>PAY-202608-0114</t>
  </si>
  <si>
    <t>INV-202605-0136</t>
  </si>
  <si>
    <t>PAY-202608-0115</t>
  </si>
  <si>
    <t>INV-202605-0144</t>
  </si>
  <si>
    <t>PAY-202608-0116</t>
  </si>
  <si>
    <t>INV-202605-0209</t>
  </si>
  <si>
    <t>PAY-202608-0117</t>
  </si>
  <si>
    <t>INV-202605-0229</t>
  </si>
  <si>
    <t>PAY-202608-0118</t>
  </si>
  <si>
    <t>INV-202605-0267</t>
  </si>
  <si>
    <t>PAY-202608-0119</t>
  </si>
  <si>
    <t>INV-202605-0275</t>
  </si>
  <si>
    <t>PAY-202608-0120</t>
  </si>
  <si>
    <t>INV-202606-0048</t>
  </si>
  <si>
    <t>PAY-202608-0121</t>
  </si>
  <si>
    <t>INV-202606-0222</t>
  </si>
  <si>
    <t>PAY-202608-0122</t>
  </si>
  <si>
    <t>INV-202606-0260</t>
  </si>
  <si>
    <t>PAY-202608-0123</t>
  </si>
  <si>
    <t>INV-202606-0272</t>
  </si>
  <si>
    <t>PAY-202608-0124</t>
  </si>
  <si>
    <t>INV-202607-0009</t>
  </si>
  <si>
    <t>PAY-202608-0125</t>
  </si>
  <si>
    <t>INV-202607-0052</t>
  </si>
  <si>
    <t>PAY-202608-0126</t>
  </si>
  <si>
    <t>INV-202607-0116</t>
  </si>
  <si>
    <t>PAY-202608-0127</t>
  </si>
  <si>
    <t>INV-202607-0143</t>
  </si>
  <si>
    <t>PAY-202608-0128</t>
  </si>
  <si>
    <t>INV-202605-0059</t>
  </si>
  <si>
    <t>PAY-202608-0129</t>
  </si>
  <si>
    <t>INV-202605-0092</t>
  </si>
  <si>
    <t>PAY-202608-0130</t>
  </si>
  <si>
    <t>INV-202605-0099</t>
  </si>
  <si>
    <t>PAY-202608-0131</t>
  </si>
  <si>
    <t>PAY-202608-0132</t>
  </si>
  <si>
    <t>INV-202606-0006</t>
  </si>
  <si>
    <t>PAY-202608-0133</t>
  </si>
  <si>
    <t>INV-202606-0115</t>
  </si>
  <si>
    <t>PAY-202608-0134</t>
  </si>
  <si>
    <t>INV-202606-0179</t>
  </si>
  <si>
    <t>PAY-202608-0135</t>
  </si>
  <si>
    <t>INV-202606-0201</t>
  </si>
  <si>
    <t>PAY-202608-0136</t>
  </si>
  <si>
    <t>PAY-202608-0137</t>
  </si>
  <si>
    <t>INV-202606-0289</t>
  </si>
  <si>
    <t>PAY-202608-0138</t>
  </si>
  <si>
    <t>INV-202607-0019</t>
  </si>
  <si>
    <t>PAY-202608-0139</t>
  </si>
  <si>
    <t>INV-202607-0053</t>
  </si>
  <si>
    <t>PAY-202608-0140</t>
  </si>
  <si>
    <t>INV-202607-0077</t>
  </si>
  <si>
    <t>PAY-202608-0141</t>
  </si>
  <si>
    <t>INV-202607-0089</t>
  </si>
  <si>
    <t>PAY-202608-0142</t>
  </si>
  <si>
    <t>INV-202607-0164</t>
  </si>
  <si>
    <t>PAY-202608-0143</t>
  </si>
  <si>
    <t>INV-202607-0184</t>
  </si>
  <si>
    <t>PAY-202608-0144</t>
  </si>
  <si>
    <t>INV-202607-0191</t>
  </si>
  <si>
    <t>PAY-202608-0145</t>
  </si>
  <si>
    <t>PAY-202608-0146</t>
  </si>
  <si>
    <t>INV-202607-0251</t>
  </si>
  <si>
    <t>PAY-202608-0147</t>
  </si>
  <si>
    <t>INV-202607-0265</t>
  </si>
  <si>
    <t>PAY-202608-0148</t>
  </si>
  <si>
    <t>INV-202608-0058</t>
  </si>
  <si>
    <t>PAY-202608-0149</t>
  </si>
  <si>
    <t>INV-202604-0109</t>
  </si>
  <si>
    <t>PAY-202608-0150</t>
  </si>
  <si>
    <t>INV-202604-0205</t>
  </si>
  <si>
    <t>PAY-202608-0151</t>
  </si>
  <si>
    <t>INV-202605-0213</t>
  </si>
  <si>
    <t>PAY-202608-0152</t>
  </si>
  <si>
    <t>INV-202606-0145</t>
  </si>
  <si>
    <t>PAY-202608-0153</t>
  </si>
  <si>
    <t>INV-202606-0200</t>
  </si>
  <si>
    <t>PAY-202608-0154</t>
  </si>
  <si>
    <t>INV-202606-0233</t>
  </si>
  <si>
    <t>PAY-202608-0155</t>
  </si>
  <si>
    <t>INV-202607-0014</t>
  </si>
  <si>
    <t>PAY-202608-0156</t>
  </si>
  <si>
    <t>INV-202607-0029</t>
  </si>
  <si>
    <t>PAY-202608-0157</t>
  </si>
  <si>
    <t>INV-202607-0048</t>
  </si>
  <si>
    <t>PAY-202608-0158</t>
  </si>
  <si>
    <t>PAY-202608-0159</t>
  </si>
  <si>
    <t>INV-202607-0104</t>
  </si>
  <si>
    <t>PAY-202608-0160</t>
  </si>
  <si>
    <t>PAY-202608-0161</t>
  </si>
  <si>
    <t>INV-202607-0199</t>
  </si>
  <si>
    <t>PAY-202608-0162</t>
  </si>
  <si>
    <t>INV-202607-0208</t>
  </si>
  <si>
    <t>PAY-202608-0163</t>
  </si>
  <si>
    <t>PAY-202608-0164</t>
  </si>
  <si>
    <t>INV-202607-0261</t>
  </si>
  <si>
    <t>PAY-202608-0165</t>
  </si>
  <si>
    <t>INV-202607-0270</t>
  </si>
  <si>
    <t>PAY-202608-0166</t>
  </si>
  <si>
    <t>INV-202607-0283</t>
  </si>
  <si>
    <t>PAY-202608-0167</t>
  </si>
  <si>
    <t>PAY-202608-0168</t>
  </si>
  <si>
    <t>INV-202608-0083</t>
  </si>
  <si>
    <t>PAY-202608-0169</t>
  </si>
  <si>
    <t>PAY-202608-0170</t>
  </si>
  <si>
    <t>INV-202605-0238</t>
  </si>
  <si>
    <t>PAY-202608-0171</t>
  </si>
  <si>
    <t>INV-202605-0286</t>
  </si>
  <si>
    <t>PAY-202608-0172</t>
  </si>
  <si>
    <t>INV-202606-0097</t>
  </si>
  <si>
    <t>PAY-202608-0173</t>
  </si>
  <si>
    <t>INV-202606-0165</t>
  </si>
  <si>
    <t>PAY-202608-0174</t>
  </si>
  <si>
    <t>INV-202606-0174</t>
  </si>
  <si>
    <t>PAY-202608-0175</t>
  </si>
  <si>
    <t>INV-202606-0176</t>
  </si>
  <si>
    <t>PAY-202608-0176</t>
  </si>
  <si>
    <t>PAY-202608-0177</t>
  </si>
  <si>
    <t>INV-202606-0205</t>
  </si>
  <si>
    <t>PAY-202608-0178</t>
  </si>
  <si>
    <t>INV-202606-0282</t>
  </si>
  <si>
    <t>PAY-202608-0179</t>
  </si>
  <si>
    <t>INV-202607-0016</t>
  </si>
  <si>
    <t>PAY-202608-0180</t>
  </si>
  <si>
    <t>INV-202607-0070</t>
  </si>
  <si>
    <t>PAY-202608-0181</t>
  </si>
  <si>
    <t>INV-202607-0093</t>
  </si>
  <si>
    <t>PAY-202608-0182</t>
  </si>
  <si>
    <t>INV-202607-0094</t>
  </si>
  <si>
    <t>PAY-202608-0183</t>
  </si>
  <si>
    <t>INV-202607-0109</t>
  </si>
  <si>
    <t>PAY-202608-0184</t>
  </si>
  <si>
    <t>INV-202607-0117</t>
  </si>
  <si>
    <t>PAY-202608-0185</t>
  </si>
  <si>
    <t>INV-202607-0209</t>
  </si>
  <si>
    <t>PAY-202608-0186</t>
  </si>
  <si>
    <t>INV-202608-0002</t>
  </si>
  <si>
    <t>PAY-202608-0187</t>
  </si>
  <si>
    <t>INV-202608-0034</t>
  </si>
  <si>
    <t>PAY-202608-0188</t>
  </si>
  <si>
    <t>INV-202605-0078</t>
  </si>
  <si>
    <t>PAY-202608-0189</t>
  </si>
  <si>
    <t>PAY-202608-0190</t>
  </si>
  <si>
    <t>INV-202605-0277</t>
  </si>
  <si>
    <t>PAY-202608-0191</t>
  </si>
  <si>
    <t>INV-202605-0291</t>
  </si>
  <si>
    <t>PAY-202608-0192</t>
  </si>
  <si>
    <t>INV-202606-0053</t>
  </si>
  <si>
    <t>PAY-202608-0193</t>
  </si>
  <si>
    <t>PAY-202608-0194</t>
  </si>
  <si>
    <t>INV-202606-0136</t>
  </si>
  <si>
    <t>PAY-202608-0195</t>
  </si>
  <si>
    <t>INV-202606-0154</t>
  </si>
  <si>
    <t>PAY-202608-0196</t>
  </si>
  <si>
    <t>INV-202606-0160</t>
  </si>
  <si>
    <t>PAY-202608-0197</t>
  </si>
  <si>
    <t>INV-202606-0167</t>
  </si>
  <si>
    <t>PAY-202608-0198</t>
  </si>
  <si>
    <t>INV-202606-0198</t>
  </si>
  <si>
    <t>PAY-202608-0199</t>
  </si>
  <si>
    <t>INV-202606-0294</t>
  </si>
  <si>
    <t>PAY-202608-0200</t>
  </si>
  <si>
    <t>INV-202607-0030</t>
  </si>
  <si>
    <t>PAY-202608-0201</t>
  </si>
  <si>
    <t>INV-202607-0037</t>
  </si>
  <si>
    <t>PAY-202608-0202</t>
  </si>
  <si>
    <t>INV-202607-0042</t>
  </si>
  <si>
    <t>PAY-202608-0203</t>
  </si>
  <si>
    <t>INV-202607-0182</t>
  </si>
  <si>
    <t>PAY-202608-0204</t>
  </si>
  <si>
    <t>INV-202607-0212</t>
  </si>
  <si>
    <t>PAY-202608-0205</t>
  </si>
  <si>
    <t>INV-202607-0285</t>
  </si>
  <si>
    <t>PAY-202608-0206</t>
  </si>
  <si>
    <t>INV-202608-0028</t>
  </si>
  <si>
    <t>PAY-202608-0207</t>
  </si>
  <si>
    <t>INV-202608-0085</t>
  </si>
  <si>
    <t>PAY-202608-0208</t>
  </si>
  <si>
    <t>PAY-202608-0209</t>
  </si>
  <si>
    <t>INV-202605-0055</t>
  </si>
  <si>
    <t>PAY-202608-0210</t>
  </si>
  <si>
    <t>INV-202605-0123</t>
  </si>
  <si>
    <t>PAY-202608-0211</t>
  </si>
  <si>
    <t>INV-202605-0157</t>
  </si>
  <si>
    <t>PAY-202608-0212</t>
  </si>
  <si>
    <t>PAY-202608-0213</t>
  </si>
  <si>
    <t>INV-202606-0080</t>
  </si>
  <si>
    <t>PAY-202608-0214</t>
  </si>
  <si>
    <t>INV-202606-0123</t>
  </si>
  <si>
    <t>PAY-202608-0215</t>
  </si>
  <si>
    <t>INV-202606-0163</t>
  </si>
  <si>
    <t>PAY-202608-0216</t>
  </si>
  <si>
    <t>PAY-202608-0217</t>
  </si>
  <si>
    <t>INV-202606-0194</t>
  </si>
  <si>
    <t>PAY-202608-0218</t>
  </si>
  <si>
    <t>INV-202606-0202</t>
  </si>
  <si>
    <t>PAY-202608-0219</t>
  </si>
  <si>
    <t>PAY-202608-0220</t>
  </si>
  <si>
    <t>INV-202607-0011</t>
  </si>
  <si>
    <t>PAY-202608-0221</t>
  </si>
  <si>
    <t>INV-202607-0027</t>
  </si>
  <si>
    <t>PAY-202608-0222</t>
  </si>
  <si>
    <t>INV-202607-0039</t>
  </si>
  <si>
    <t>PAY-202608-0223</t>
  </si>
  <si>
    <t>INV-202607-0062</t>
  </si>
  <si>
    <t>PAY-202608-0224</t>
  </si>
  <si>
    <t>INV-202607-0186</t>
  </si>
  <si>
    <t>PAY-202608-0225</t>
  </si>
  <si>
    <t>INV-202607-0204</t>
  </si>
  <si>
    <t>PAY-202608-0226</t>
  </si>
  <si>
    <t>INV-202607-0263</t>
  </si>
  <si>
    <t>PAY-202608-0227</t>
  </si>
  <si>
    <t>INV-202607-0295</t>
  </si>
  <si>
    <t>PAY-202608-0228</t>
  </si>
  <si>
    <t>INV-202608-0038</t>
  </si>
  <si>
    <t>PAY-202608-0229</t>
  </si>
  <si>
    <t>INV-202604-0258</t>
  </si>
  <si>
    <t>PAY-202608-0230</t>
  </si>
  <si>
    <t>PAY-202608-0231</t>
  </si>
  <si>
    <t>INV-202606-0055</t>
  </si>
  <si>
    <t>PAY-202608-0232</t>
  </si>
  <si>
    <t>INV-202606-0065</t>
  </si>
  <si>
    <t>PAY-202608-0233</t>
  </si>
  <si>
    <t>PAY-202608-0234</t>
  </si>
  <si>
    <t>INV-202606-0119</t>
  </si>
  <si>
    <t>PAY-202608-0235</t>
  </si>
  <si>
    <t>INV-202606-0147</t>
  </si>
  <si>
    <t>PAY-202608-0236</t>
  </si>
  <si>
    <t>PAY-202608-0237</t>
  </si>
  <si>
    <t>INV-202606-0197</t>
  </si>
  <si>
    <t>PAY-202608-0238</t>
  </si>
  <si>
    <t>INV-202606-0238</t>
  </si>
  <si>
    <t>PAY-202608-0239</t>
  </si>
  <si>
    <t>INV-202606-0254</t>
  </si>
  <si>
    <t>PAY-202608-0240</t>
  </si>
  <si>
    <t>INV-202606-0278</t>
  </si>
  <si>
    <t>PAY-202608-0241</t>
  </si>
  <si>
    <t>INV-202607-0102</t>
  </si>
  <si>
    <t>PAY-202608-0242</t>
  </si>
  <si>
    <t>INV-202607-0135</t>
  </si>
  <si>
    <t>PAY-202608-0243</t>
  </si>
  <si>
    <t>INV-202607-0147</t>
  </si>
  <si>
    <t>PAY-202608-0244</t>
  </si>
  <si>
    <t>INV-202607-0173</t>
  </si>
  <si>
    <t>PAY-202608-0245</t>
  </si>
  <si>
    <t>INV-202607-0185</t>
  </si>
  <si>
    <t>PAY-202608-0246</t>
  </si>
  <si>
    <t>INV-202607-0236</t>
  </si>
  <si>
    <t>PAY-202608-0247</t>
  </si>
  <si>
    <t>INV-202607-0271</t>
  </si>
  <si>
    <t>PAY-202608-0248</t>
  </si>
  <si>
    <t>INV-202607-0279</t>
  </si>
  <si>
    <t>PAY-202608-0249</t>
  </si>
  <si>
    <t>INV-202607-0280</t>
  </si>
  <si>
    <t>PAY-202608-0250</t>
  </si>
  <si>
    <t>INV-202608-0115</t>
  </si>
  <si>
    <t>PAY-202608-0251</t>
  </si>
  <si>
    <t>INV-202605-0182</t>
  </si>
  <si>
    <t>PAY-202608-0252</t>
  </si>
  <si>
    <t>INV-202605-0226</t>
  </si>
  <si>
    <t>PAY-202608-0253</t>
  </si>
  <si>
    <t>INV-202605-0250</t>
  </si>
  <si>
    <t>PAY-202608-0254</t>
  </si>
  <si>
    <t>INV-202605-0299</t>
  </si>
  <si>
    <t>PAY-202608-0255</t>
  </si>
  <si>
    <t>INV-202606-0083</t>
  </si>
  <si>
    <t>PAY-202608-0256</t>
  </si>
  <si>
    <t>INV-202606-0084</t>
  </si>
  <si>
    <t>PAY-202608-0257</t>
  </si>
  <si>
    <t>INV-202606-0109</t>
  </si>
  <si>
    <t>PAY-202608-0258</t>
  </si>
  <si>
    <t>PAY-202608-0259</t>
  </si>
  <si>
    <t>PAY-202608-0260</t>
  </si>
  <si>
    <t>PAY-202608-0261</t>
  </si>
  <si>
    <t>INV-202606-0203</t>
  </si>
  <si>
    <t>PAY-202608-0262</t>
  </si>
  <si>
    <t>INV-202606-0264</t>
  </si>
  <si>
    <t>PAY-202608-0263</t>
  </si>
  <si>
    <t>INV-202607-0031</t>
  </si>
  <si>
    <t>PAY-202608-0264</t>
  </si>
  <si>
    <t>INV-202607-0044</t>
  </si>
  <si>
    <t>PAY-202608-0265</t>
  </si>
  <si>
    <t>PAY-202608-0266</t>
  </si>
  <si>
    <t>INV-202607-0219</t>
  </si>
  <si>
    <t>PAY-202608-0267</t>
  </si>
  <si>
    <t>INV-202607-0269</t>
  </si>
  <si>
    <t>PAY-202608-0268</t>
  </si>
  <si>
    <t>PAY-202608-0269</t>
  </si>
  <si>
    <t>INV-202606-0007</t>
  </si>
  <si>
    <t>PAY-202608-0270</t>
  </si>
  <si>
    <t>INV-202606-0105</t>
  </si>
  <si>
    <t>PAY-202608-0271</t>
  </si>
  <si>
    <t>PAY-202608-0272</t>
  </si>
  <si>
    <t>INV-202606-0144</t>
  </si>
  <si>
    <t>PAY-202608-0273</t>
  </si>
  <si>
    <t>INV-202606-0234</t>
  </si>
  <si>
    <t>PAY-202608-0274</t>
  </si>
  <si>
    <t>INV-202606-0235</t>
  </si>
  <si>
    <t>PAY-202608-0275</t>
  </si>
  <si>
    <t>INV-202606-0262</t>
  </si>
  <si>
    <t>PAY-202608-0276</t>
  </si>
  <si>
    <t>INV-202607-0046</t>
  </si>
  <si>
    <t>PAY-202608-0277</t>
  </si>
  <si>
    <t>INV-202607-0159</t>
  </si>
  <si>
    <t>PAY-202608-0278</t>
  </si>
  <si>
    <t>INV-202607-0170</t>
  </si>
  <si>
    <t>PAY-202608-0279</t>
  </si>
  <si>
    <t>INV-202607-0229</t>
  </si>
  <si>
    <t>PAY-202608-0280</t>
  </si>
  <si>
    <t>INV-202607-0252</t>
  </si>
  <si>
    <t>PAY-202608-0281</t>
  </si>
  <si>
    <t>INV-202607-0257</t>
  </si>
  <si>
    <t>PAY-202608-0282</t>
  </si>
  <si>
    <t>INV-202607-0286</t>
  </si>
  <si>
    <t>PAY-202608-0283</t>
  </si>
  <si>
    <t>INV-202608-0020</t>
  </si>
  <si>
    <t>PAY-202608-0284</t>
  </si>
  <si>
    <t>INV-202608-0043</t>
  </si>
  <si>
    <t>PAY-202608-0285</t>
  </si>
  <si>
    <t>PAY-202608-0286</t>
  </si>
  <si>
    <t>INV-202608-0077</t>
  </si>
  <si>
    <t>PAY-202608-0287</t>
  </si>
  <si>
    <t>INV-202608-0091</t>
  </si>
  <si>
    <t>PAY-202608-0288</t>
  </si>
  <si>
    <t>INV-202608-0093</t>
  </si>
  <si>
    <t>PAY-202608-0289</t>
  </si>
  <si>
    <t>INV-202604-0158</t>
  </si>
  <si>
    <t>PAY-202608-0290</t>
  </si>
  <si>
    <t>INV-202604-0172</t>
  </si>
  <si>
    <t>PAY-202608-0291</t>
  </si>
  <si>
    <t>INV-202605-0228</t>
  </si>
  <si>
    <t>PAY-202608-0292</t>
  </si>
  <si>
    <t>INV-202605-0230</t>
  </si>
  <si>
    <t>PAY-202608-0293</t>
  </si>
  <si>
    <t>INV-202605-0258</t>
  </si>
  <si>
    <t>PAY-202608-0294</t>
  </si>
  <si>
    <t>PAY-202608-0295</t>
  </si>
  <si>
    <t>INV-202606-0130</t>
  </si>
  <si>
    <t>PAY-202608-0296</t>
  </si>
  <si>
    <t>INV-202606-0149</t>
  </si>
  <si>
    <t>PAY-202608-0297</t>
  </si>
  <si>
    <t>INV-202606-0184</t>
  </si>
  <si>
    <t>PAY-202608-0298</t>
  </si>
  <si>
    <t>INV-202606-0236</t>
  </si>
  <si>
    <t>PAY-202608-0299</t>
  </si>
  <si>
    <t>INV-202606-0243</t>
  </si>
  <si>
    <t>PAY-202608-0300</t>
  </si>
  <si>
    <t>INV-202606-0263</t>
  </si>
  <si>
    <t>PAY-202608-0301</t>
  </si>
  <si>
    <t>PAY-202608-0302</t>
  </si>
  <si>
    <t>PAY-202608-0303</t>
  </si>
  <si>
    <t>INV-202607-0095</t>
  </si>
  <si>
    <t>PAY-202608-0304</t>
  </si>
  <si>
    <t>INV-202607-0096</t>
  </si>
  <si>
    <t>PAY-202608-0305</t>
  </si>
  <si>
    <t>PAY-202608-0306</t>
  </si>
  <si>
    <t>INV-202607-0107</t>
  </si>
  <si>
    <t>PAY-202608-0307</t>
  </si>
  <si>
    <t>INV-202607-0118</t>
  </si>
  <si>
    <t>PAY-202608-0308</t>
  </si>
  <si>
    <t>PAY-202608-0309</t>
  </si>
  <si>
    <t>INV-202607-0174</t>
  </si>
  <si>
    <t>PAY-202608-0310</t>
  </si>
  <si>
    <t>INV-202607-0243</t>
  </si>
  <si>
    <t>PAY-202608-0311</t>
  </si>
  <si>
    <t>PAY-202608-0312</t>
  </si>
  <si>
    <t>INV-202608-0004</t>
  </si>
  <si>
    <t>PAY-202608-0313</t>
  </si>
  <si>
    <t>INV-202608-0025</t>
  </si>
  <si>
    <t>PAY-202608-0314</t>
  </si>
  <si>
    <t>INV-202608-0060</t>
  </si>
  <si>
    <t>PAY-202608-0315</t>
  </si>
  <si>
    <t>INV-202608-0066</t>
  </si>
  <si>
    <t>PAY-202608-0316</t>
  </si>
  <si>
    <t>INV-202608-0071</t>
  </si>
  <si>
    <t>PAY-202608-0317</t>
  </si>
  <si>
    <t>PAY-202608-0318</t>
  </si>
  <si>
    <t>INV-202604-0193</t>
  </si>
  <si>
    <t>PAY-202608-0319</t>
  </si>
  <si>
    <t>PAY-202608-0320</t>
  </si>
  <si>
    <t>INV-202605-0142</t>
  </si>
  <si>
    <t>PAY-202608-0321</t>
  </si>
  <si>
    <t>INV-202605-0185</t>
  </si>
  <si>
    <t>PAY-202608-0322</t>
  </si>
  <si>
    <t>INV-202605-0282</t>
  </si>
  <si>
    <t>PAY-202608-0323</t>
  </si>
  <si>
    <t>INV-202605-0288</t>
  </si>
  <si>
    <t>PAY-202608-0324</t>
  </si>
  <si>
    <t>INV-202606-0026</t>
  </si>
  <si>
    <t>PAY-202608-0325</t>
  </si>
  <si>
    <t>PAY-202608-0326</t>
  </si>
  <si>
    <t>INV-202606-0102</t>
  </si>
  <si>
    <t>PAY-202608-0327</t>
  </si>
  <si>
    <t>INV-202606-0150</t>
  </si>
  <si>
    <t>PAY-202608-0328</t>
  </si>
  <si>
    <t>INV-202606-0245</t>
  </si>
  <si>
    <t>PAY-202608-0329</t>
  </si>
  <si>
    <t>INV-202606-0268</t>
  </si>
  <si>
    <t>PAY-202608-0330</t>
  </si>
  <si>
    <t>PAY-202608-0331</t>
  </si>
  <si>
    <t>INV-202607-0132</t>
  </si>
  <si>
    <t>PAY-202608-0332</t>
  </si>
  <si>
    <t>INV-202607-0168</t>
  </si>
  <si>
    <t>PAY-202608-0333</t>
  </si>
  <si>
    <t>INV-202607-0198</t>
  </si>
  <si>
    <t>PAY-202608-0334</t>
  </si>
  <si>
    <t>INV-202607-0244</t>
  </si>
  <si>
    <t>PAY-202608-0335</t>
  </si>
  <si>
    <t>INV-202607-0282</t>
  </si>
  <si>
    <t>PAY-202608-0336</t>
  </si>
  <si>
    <t>PAY-202608-0337</t>
  </si>
  <si>
    <t>INV-202608-0035</t>
  </si>
  <si>
    <t>PAY-202608-0338</t>
  </si>
  <si>
    <t>INV-202608-0087</t>
  </si>
  <si>
    <t>PAY-202608-0339</t>
  </si>
  <si>
    <t>INV-202608-0103</t>
  </si>
  <si>
    <t>PAY-202608-0340</t>
  </si>
  <si>
    <t>INV-202608-0140</t>
  </si>
  <si>
    <t>PAY-202608-0341</t>
  </si>
  <si>
    <t>INV-202608-0141</t>
  </si>
  <si>
    <t>PAY-202608-0342</t>
  </si>
  <si>
    <t>PAY-202608-0343</t>
  </si>
  <si>
    <t>INV-202605-0128</t>
  </si>
  <si>
    <t>PAY-202608-0344</t>
  </si>
  <si>
    <t>INV-202605-0293</t>
  </si>
  <si>
    <t>PAY-202608-0345</t>
  </si>
  <si>
    <t>INV-202606-0004</t>
  </si>
  <si>
    <t>PAY-202608-0346</t>
  </si>
  <si>
    <t>INV-202606-0040</t>
  </si>
  <si>
    <t>PAY-202608-0347</t>
  </si>
  <si>
    <t>INV-202606-0058</t>
  </si>
  <si>
    <t>PAY-202608-0348</t>
  </si>
  <si>
    <t>INV-202606-0104</t>
  </si>
  <si>
    <t>PAY-202608-0349</t>
  </si>
  <si>
    <t>PAY-202608-0350</t>
  </si>
  <si>
    <t>INV-202606-0152</t>
  </si>
  <si>
    <t>PAY-202608-0351</t>
  </si>
  <si>
    <t>INV-202606-0168</t>
  </si>
  <si>
    <t>PAY-202608-0352</t>
  </si>
  <si>
    <t>INV-202606-0212</t>
  </si>
  <si>
    <t>PAY-202608-0353</t>
  </si>
  <si>
    <t>INV-202606-0286</t>
  </si>
  <si>
    <t>PAY-202608-0354</t>
  </si>
  <si>
    <t>INV-202606-0288</t>
  </si>
  <si>
    <t>PAY-202608-0355</t>
  </si>
  <si>
    <t>INV-202607-0001</t>
  </si>
  <si>
    <t>PAY-202608-0356</t>
  </si>
  <si>
    <t>PAY-202608-0357</t>
  </si>
  <si>
    <t>INV-202607-0047</t>
  </si>
  <si>
    <t>PAY-202608-0358</t>
  </si>
  <si>
    <t>PAY-202608-0359</t>
  </si>
  <si>
    <t>INV-202607-0103</t>
  </si>
  <si>
    <t>PAY-202608-0360</t>
  </si>
  <si>
    <t>INV-202607-0169</t>
  </si>
  <si>
    <t>PAY-202608-0361</t>
  </si>
  <si>
    <t>INV-202607-0195</t>
  </si>
  <si>
    <t>PAY-202608-0362</t>
  </si>
  <si>
    <t>INV-202607-0218</t>
  </si>
  <si>
    <t>PAY-202608-0363</t>
  </si>
  <si>
    <t>INV-202607-0230</t>
  </si>
  <si>
    <t>PAY-202608-0364</t>
  </si>
  <si>
    <t>INV-202607-0233</t>
  </si>
  <si>
    <t>PAY-202608-0365</t>
  </si>
  <si>
    <t>INV-202607-0239</t>
  </si>
  <si>
    <t>PAY-202608-0366</t>
  </si>
  <si>
    <t>INV-202607-0281</t>
  </si>
  <si>
    <t>PAY-202608-0367</t>
  </si>
  <si>
    <t>INV-202608-0094</t>
  </si>
  <si>
    <t>PAY-202608-0368</t>
  </si>
  <si>
    <t>INV-202608-0128</t>
  </si>
  <si>
    <t>PAY-202608-0369</t>
  </si>
  <si>
    <t>INV-202604-0212</t>
  </si>
  <si>
    <t>PAY-202608-0370</t>
  </si>
  <si>
    <t>INV-202605-0068</t>
  </si>
  <si>
    <t>PAY-202608-0371</t>
  </si>
  <si>
    <t>PAY-202608-0372</t>
  </si>
  <si>
    <t>PAY-202608-0373</t>
  </si>
  <si>
    <t>INV-202606-0116</t>
  </si>
  <si>
    <t>PAY-202608-0374</t>
  </si>
  <si>
    <t>INV-202606-0129</t>
  </si>
  <si>
    <t>PAY-202608-0375</t>
  </si>
  <si>
    <t>INV-202606-0181</t>
  </si>
  <si>
    <t>PAY-202608-0376</t>
  </si>
  <si>
    <t>INV-202606-0183</t>
  </si>
  <si>
    <t>PAY-202608-0377</t>
  </si>
  <si>
    <t>INV-202606-0206</t>
  </si>
  <si>
    <t>PAY-202608-0378</t>
  </si>
  <si>
    <t>INV-202606-0214</t>
  </si>
  <si>
    <t>PAY-202608-0379</t>
  </si>
  <si>
    <t>INV-202606-0219</t>
  </si>
  <si>
    <t>PAY-202608-0380</t>
  </si>
  <si>
    <t>PAY-202608-0381</t>
  </si>
  <si>
    <t>PAY-202608-0382</t>
  </si>
  <si>
    <t>INV-202607-0232</t>
  </si>
  <si>
    <t>PAY-202608-0383</t>
  </si>
  <si>
    <t>INV-202607-0237</t>
  </si>
  <si>
    <t>PAY-202608-0384</t>
  </si>
  <si>
    <t>INV-202607-0245</t>
  </si>
  <si>
    <t>PAY-202608-0385</t>
  </si>
  <si>
    <t>INV-202607-0278</t>
  </si>
  <si>
    <t>PAY-202608-0386</t>
  </si>
  <si>
    <t>INV-202607-0289</t>
  </si>
  <si>
    <t>PAY-202608-0387</t>
  </si>
  <si>
    <t>INV-202608-0079</t>
  </si>
  <si>
    <t>PAY-202608-0388</t>
  </si>
  <si>
    <t>INV-202608-0088</t>
  </si>
  <si>
    <t>PAY-202608-0389</t>
  </si>
  <si>
    <t>INV-202608-0165</t>
  </si>
  <si>
    <t>PAY-202608-0390</t>
  </si>
  <si>
    <t>INV-202605-0225</t>
  </si>
  <si>
    <t>PAY-202608-0391</t>
  </si>
  <si>
    <t>PAY-202608-0392</t>
  </si>
  <si>
    <t>INV-202606-0120</t>
  </si>
  <si>
    <t>PAY-202608-0393</t>
  </si>
  <si>
    <t>INV-202606-0127</t>
  </si>
  <si>
    <t>PAY-202608-0394</t>
  </si>
  <si>
    <t>PAY-202608-0395</t>
  </si>
  <si>
    <t>INV-202606-0226</t>
  </si>
  <si>
    <t>PAY-202608-0396</t>
  </si>
  <si>
    <t>INV-202607-0025</t>
  </si>
  <si>
    <t>PAY-202608-0397</t>
  </si>
  <si>
    <t>INV-202607-0073</t>
  </si>
  <si>
    <t>PAY-202608-0398</t>
  </si>
  <si>
    <t>INV-202607-0114</t>
  </si>
  <si>
    <t>PAY-202608-0399</t>
  </si>
  <si>
    <t>INV-202607-0146</t>
  </si>
  <si>
    <t>PAY-202608-0400</t>
  </si>
  <si>
    <t>INV-202607-0172</t>
  </si>
  <si>
    <t>PAY-202608-0401</t>
  </si>
  <si>
    <t>INV-202607-0220</t>
  </si>
  <si>
    <t>PAY-202608-0402</t>
  </si>
  <si>
    <t>INV-202607-0290</t>
  </si>
  <si>
    <t>PAY-202608-0403</t>
  </si>
  <si>
    <t>INV-202608-0009</t>
  </si>
  <si>
    <t>PAY-202608-0404</t>
  </si>
  <si>
    <t>INV-202608-0036</t>
  </si>
  <si>
    <t>PAY-202608-0405</t>
  </si>
  <si>
    <t>INV-202608-0050</t>
  </si>
  <si>
    <t>PAY-202608-0406</t>
  </si>
  <si>
    <t>INV-202608-0055</t>
  </si>
  <si>
    <t>PAY-202608-0407</t>
  </si>
  <si>
    <t>INV-202608-0065</t>
  </si>
  <si>
    <t>PAY-202608-0408</t>
  </si>
  <si>
    <t>INV-202608-0069</t>
  </si>
  <si>
    <t>PAY-202608-0409</t>
  </si>
  <si>
    <t>INV-202608-0158</t>
  </si>
  <si>
    <t>PAY-202608-0410</t>
  </si>
  <si>
    <t>INV-202608-0163</t>
  </si>
  <si>
    <t>PAY-202608-0411</t>
  </si>
  <si>
    <t>INV-202608-0164</t>
  </si>
  <si>
    <t>PAY-202608-0412</t>
  </si>
  <si>
    <t>INV-202608-0170</t>
  </si>
  <si>
    <t>PAY-202608-0413</t>
  </si>
  <si>
    <t>INV-202604-0171</t>
  </si>
  <si>
    <t>PAY-202608-0414</t>
  </si>
  <si>
    <t>INV-202604-0210</t>
  </si>
  <si>
    <t>PAY-202608-0415</t>
  </si>
  <si>
    <t>INV-202604-0296</t>
  </si>
  <si>
    <t>PAY-202608-0416</t>
  </si>
  <si>
    <t>INV-202605-0061</t>
  </si>
  <si>
    <t>PAY-202608-0417</t>
  </si>
  <si>
    <t>INV-202605-0138</t>
  </si>
  <si>
    <t>PAY-202608-0418</t>
  </si>
  <si>
    <t>INV-202605-0289</t>
  </si>
  <si>
    <t>PAY-202608-0419</t>
  </si>
  <si>
    <t>INV-202606-0081</t>
  </si>
  <si>
    <t>PAY-202608-0420</t>
  </si>
  <si>
    <t>INV-202606-0118</t>
  </si>
  <si>
    <t>PAY-202608-0421</t>
  </si>
  <si>
    <t>INV-202606-0151</t>
  </si>
  <si>
    <t>PAY-202608-0422</t>
  </si>
  <si>
    <t>INV-202606-0164</t>
  </si>
  <si>
    <t>PAY-202608-0423</t>
  </si>
  <si>
    <t>PAY-202608-0424</t>
  </si>
  <si>
    <t>PAY-202608-0425</t>
  </si>
  <si>
    <t>INV-202606-0209</t>
  </si>
  <si>
    <t>PAY-202608-0426</t>
  </si>
  <si>
    <t>INV-202607-0020</t>
  </si>
  <si>
    <t>PAY-202608-0427</t>
  </si>
  <si>
    <t>INV-202607-0134</t>
  </si>
  <si>
    <t>PAY-202608-0428</t>
  </si>
  <si>
    <t>INV-202607-0228</t>
  </si>
  <si>
    <t>PAY-202608-0429</t>
  </si>
  <si>
    <t>INV-202607-0258</t>
  </si>
  <si>
    <t>PAY-202608-0430</t>
  </si>
  <si>
    <t>PAY-202608-0431</t>
  </si>
  <si>
    <t>INV-202608-0095</t>
  </si>
  <si>
    <t>PAY-202608-0432</t>
  </si>
  <si>
    <t>INV-202608-0104</t>
  </si>
  <si>
    <t>PAY-202608-0433</t>
  </si>
  <si>
    <t>INV-202604-0025</t>
  </si>
  <si>
    <t>PAY-202608-0434</t>
  </si>
  <si>
    <t>PAY-202608-0435</t>
  </si>
  <si>
    <t>INV-202605-0098</t>
  </si>
  <si>
    <t>PAY-202608-0436</t>
  </si>
  <si>
    <t>INV-202605-0129</t>
  </si>
  <si>
    <t>PAY-202608-0437</t>
  </si>
  <si>
    <t>INV-202605-0206</t>
  </si>
  <si>
    <t>PAY-202608-0438</t>
  </si>
  <si>
    <t>INV-202605-0237</t>
  </si>
  <si>
    <t>PAY-202608-0439</t>
  </si>
  <si>
    <t>PAY-202608-0440</t>
  </si>
  <si>
    <t>PAY-202608-0441</t>
  </si>
  <si>
    <t>INV-202606-0191</t>
  </si>
  <si>
    <t>PAY-202608-0442</t>
  </si>
  <si>
    <t>PAY-202608-0443</t>
  </si>
  <si>
    <t>PAY-202608-0444</t>
  </si>
  <si>
    <t>INV-202607-0139</t>
  </si>
  <si>
    <t>PAY-202608-0445</t>
  </si>
  <si>
    <t>INV-202607-0150</t>
  </si>
  <si>
    <t>PAY-202608-0446</t>
  </si>
  <si>
    <t>PAY-202608-0447</t>
  </si>
  <si>
    <t>INV-202607-0264</t>
  </si>
  <si>
    <t>PAY-202608-0448</t>
  </si>
  <si>
    <t>INV-202607-0268</t>
  </si>
  <si>
    <t>PAY-202608-0449</t>
  </si>
  <si>
    <t>INV-202607-0298</t>
  </si>
  <si>
    <t>PAY-202608-0450</t>
  </si>
  <si>
    <t>INV-202608-0057</t>
  </si>
  <si>
    <t>PAY-202608-0451</t>
  </si>
  <si>
    <t>INV-202608-0161</t>
  </si>
  <si>
    <t>PAY-202608-0452</t>
  </si>
  <si>
    <t>INV-202608-0174</t>
  </si>
  <si>
    <t>PAY-202608-0453</t>
  </si>
  <si>
    <t>PAY-202608-0454</t>
  </si>
  <si>
    <t>INV-202605-0013</t>
  </si>
  <si>
    <t>PAY-202608-0455</t>
  </si>
  <si>
    <t>INV-202605-0054</t>
  </si>
  <si>
    <t>PAY-202608-0456</t>
  </si>
  <si>
    <t>INV-202605-0122</t>
  </si>
  <si>
    <t>PAY-202608-0457</t>
  </si>
  <si>
    <t>PAY-202608-0458</t>
  </si>
  <si>
    <t>INV-202605-0232</t>
  </si>
  <si>
    <t>PAY-202608-0459</t>
  </si>
  <si>
    <t>INV-202605-0236</t>
  </si>
  <si>
    <t>PAY-202608-0460</t>
  </si>
  <si>
    <t>INV-202605-0263</t>
  </si>
  <si>
    <t>PAY-202608-0461</t>
  </si>
  <si>
    <t>PAY-202608-0462</t>
  </si>
  <si>
    <t>INV-202605-0287</t>
  </si>
  <si>
    <t>PAY-202608-0463</t>
  </si>
  <si>
    <t>INV-202606-0010</t>
  </si>
  <si>
    <t>PAY-202608-0464</t>
  </si>
  <si>
    <t>INV-202606-0038</t>
  </si>
  <si>
    <t>PAY-202608-0465</t>
  </si>
  <si>
    <t>PAY-202608-0466</t>
  </si>
  <si>
    <t>INV-202606-0050</t>
  </si>
  <si>
    <t>PAY-202608-0467</t>
  </si>
  <si>
    <t>INV-202606-0051</t>
  </si>
  <si>
    <t>PAY-202608-0468</t>
  </si>
  <si>
    <t>INV-202606-0057</t>
  </si>
  <si>
    <t>PAY-202608-0469</t>
  </si>
  <si>
    <t>INV-202606-0217</t>
  </si>
  <si>
    <t>PAY-202608-0470</t>
  </si>
  <si>
    <t>INV-202606-0251</t>
  </si>
  <si>
    <t>PAY-202608-0471</t>
  </si>
  <si>
    <t>INV-202606-0300</t>
  </si>
  <si>
    <t>PAY-202608-0472</t>
  </si>
  <si>
    <t>PAY-202608-0473</t>
  </si>
  <si>
    <t>PAY-202608-0474</t>
  </si>
  <si>
    <t>INV-202607-0071</t>
  </si>
  <si>
    <t>PAY-202608-0475</t>
  </si>
  <si>
    <t>INV-202607-0101</t>
  </si>
  <si>
    <t>PAY-202608-0476</t>
  </si>
  <si>
    <t>INV-202607-0121</t>
  </si>
  <si>
    <t>PAY-202608-0477</t>
  </si>
  <si>
    <t>PAY-202608-0478</t>
  </si>
  <si>
    <t>PAY-202608-0479</t>
  </si>
  <si>
    <t>INV-202607-0267</t>
  </si>
  <si>
    <t>PAY-202608-0480</t>
  </si>
  <si>
    <t>INV-202607-0276</t>
  </si>
  <si>
    <t>PAY-202608-0481</t>
  </si>
  <si>
    <t>INV-202608-0026</t>
  </si>
  <si>
    <t>PAY-202608-0482</t>
  </si>
  <si>
    <t>INV-202608-0042</t>
  </si>
  <si>
    <t>PAY-202608-0483</t>
  </si>
  <si>
    <t>PAY-202608-0484</t>
  </si>
  <si>
    <t>INV-202608-0084</t>
  </si>
  <si>
    <t>PAY-202608-0485</t>
  </si>
  <si>
    <t>INV-202608-0125</t>
  </si>
  <si>
    <t>PAY-202608-0486</t>
  </si>
  <si>
    <t>INV-202608-0130</t>
  </si>
  <si>
    <t>PAY-202608-0487</t>
  </si>
  <si>
    <t>INV-202608-0193</t>
  </si>
  <si>
    <t>PAY-202608-0488</t>
  </si>
  <si>
    <t>INV-202608-0230</t>
  </si>
  <si>
    <t>PAY-202608-0489</t>
  </si>
  <si>
    <t>INV-202605-0057</t>
  </si>
  <si>
    <t>PAY-202608-0490</t>
  </si>
  <si>
    <t>PAY-202608-0491</t>
  </si>
  <si>
    <t>PAY-202608-0492</t>
  </si>
  <si>
    <t>PAY-202608-0493</t>
  </si>
  <si>
    <t>INV-202606-0156</t>
  </si>
  <si>
    <t>PAY-202608-0494</t>
  </si>
  <si>
    <t>INV-202606-0185</t>
  </si>
  <si>
    <t>PAY-202608-0495</t>
  </si>
  <si>
    <t>INV-202606-0249</t>
  </si>
  <si>
    <t>PAY-202608-0496</t>
  </si>
  <si>
    <t>PAY-202608-0497</t>
  </si>
  <si>
    <t>INV-202606-0284</t>
  </si>
  <si>
    <t>PAY-202608-0498</t>
  </si>
  <si>
    <t>INV-202607-0043</t>
  </si>
  <si>
    <t>PAY-202608-0499</t>
  </si>
  <si>
    <t>INV-202607-0129</t>
  </si>
  <si>
    <t>PAY-202608-0500</t>
  </si>
  <si>
    <t>INV-202607-0155</t>
  </si>
  <si>
    <t>PAY-202608-0501</t>
  </si>
  <si>
    <t>INV-202607-0176</t>
  </si>
  <si>
    <t>PAY-202608-0502</t>
  </si>
  <si>
    <t>INV-202607-0181</t>
  </si>
  <si>
    <t>PAY-202608-0503</t>
  </si>
  <si>
    <t>INV-202607-0201</t>
  </si>
  <si>
    <t>PAY-202608-0504</t>
  </si>
  <si>
    <t>PAY-202608-0505</t>
  </si>
  <si>
    <t>PAY-202608-0506</t>
  </si>
  <si>
    <t>INV-202607-0248</t>
  </si>
  <si>
    <t>PAY-202608-0507</t>
  </si>
  <si>
    <t>INV-202607-0275</t>
  </si>
  <si>
    <t>PAY-202608-0508</t>
  </si>
  <si>
    <t>INV-202608-0032</t>
  </si>
  <si>
    <t>PAY-202608-0509</t>
  </si>
  <si>
    <t>PAY-202608-0510</t>
  </si>
  <si>
    <t>INV-202608-0059</t>
  </si>
  <si>
    <t>PAY-202608-0511</t>
  </si>
  <si>
    <t>INV-202608-0086</t>
  </si>
  <si>
    <t>PAY-202608-0512</t>
  </si>
  <si>
    <t>INV-202608-0110</t>
  </si>
  <si>
    <t>PAY-202608-0513</t>
  </si>
  <si>
    <t>INV-202608-0112</t>
  </si>
  <si>
    <t>PAY-202608-0514</t>
  </si>
  <si>
    <t>INV-202608-0143</t>
  </si>
  <si>
    <t>PAY-202608-0515</t>
  </si>
  <si>
    <t>INV-202608-0153</t>
  </si>
  <si>
    <t>PAY-202608-0516</t>
  </si>
  <si>
    <t>PAY-202608-0517</t>
  </si>
  <si>
    <t>INV-202608-0180</t>
  </si>
  <si>
    <t>PAY-202608-0518</t>
  </si>
  <si>
    <t>INV-202608-0226</t>
  </si>
  <si>
    <t>PAY-202608-0519</t>
  </si>
  <si>
    <t>INV-202605-0093</t>
  </si>
  <si>
    <t>PAY-202608-0520</t>
  </si>
  <si>
    <t>INV-202605-0127</t>
  </si>
  <si>
    <t>PAY-202608-0521</t>
  </si>
  <si>
    <t>PAY-202608-0522</t>
  </si>
  <si>
    <t>INV-202605-0292</t>
  </si>
  <si>
    <t>PAY-202608-0523</t>
  </si>
  <si>
    <t>INV-202606-0072</t>
  </si>
  <si>
    <t>PAY-202608-0524</t>
  </si>
  <si>
    <t>INV-202606-0087</t>
  </si>
  <si>
    <t>PAY-202608-0525</t>
  </si>
  <si>
    <t>INV-202606-0090</t>
  </si>
  <si>
    <t>PAY-202608-0526</t>
  </si>
  <si>
    <t>INV-202606-0189</t>
  </si>
  <si>
    <t>PAY-202608-0527</t>
  </si>
  <si>
    <t>INV-202606-0241</t>
  </si>
  <si>
    <t>PAY-202608-0528</t>
  </si>
  <si>
    <t>INV-202606-0248</t>
  </si>
  <si>
    <t>PAY-202608-0529</t>
  </si>
  <si>
    <t>INV-202606-0274</t>
  </si>
  <si>
    <t>PAY-202608-0530</t>
  </si>
  <si>
    <t>INV-202606-0276</t>
  </si>
  <si>
    <t>PAY-202608-0531</t>
  </si>
  <si>
    <t>PAY-202608-0532</t>
  </si>
  <si>
    <t>INV-202607-0055</t>
  </si>
  <si>
    <t>PAY-202608-0533</t>
  </si>
  <si>
    <t>INV-202607-0112</t>
  </si>
  <si>
    <t>PAY-202608-0534</t>
  </si>
  <si>
    <t>INV-202607-0127</t>
  </si>
  <si>
    <t>PAY-202608-0535</t>
  </si>
  <si>
    <t>INV-202607-0162</t>
  </si>
  <si>
    <t>PAY-202608-0536</t>
  </si>
  <si>
    <t>INV-202607-0167</t>
  </si>
  <si>
    <t>PAY-202608-0537</t>
  </si>
  <si>
    <t>PAY-202608-0538</t>
  </si>
  <si>
    <t>PAY-202608-0539</t>
  </si>
  <si>
    <t>INV-202608-0003</t>
  </si>
  <si>
    <t>PAY-202608-0540</t>
  </si>
  <si>
    <t>INV-202608-0010</t>
  </si>
  <si>
    <t>PAY-202608-0541</t>
  </si>
  <si>
    <t>INV-202608-0015</t>
  </si>
  <si>
    <t>PAY-202608-0542</t>
  </si>
  <si>
    <t>INV-202608-0033</t>
  </si>
  <si>
    <t>PAY-202608-0543</t>
  </si>
  <si>
    <t>INV-202608-0039</t>
  </si>
  <si>
    <t>PAY-202608-0544</t>
  </si>
  <si>
    <t>INV-202608-0044</t>
  </si>
  <si>
    <t>PAY-202608-0545</t>
  </si>
  <si>
    <t>PAY-202608-0546</t>
  </si>
  <si>
    <t>INV-202608-0092</t>
  </si>
  <si>
    <t>PAY-202608-0547</t>
  </si>
  <si>
    <t>INV-202605-0075</t>
  </si>
  <si>
    <t>PAY-202608-0548</t>
  </si>
  <si>
    <t>INV-202605-0085</t>
  </si>
  <si>
    <t>PAY-202608-0549</t>
  </si>
  <si>
    <t>INV-202605-0109</t>
  </si>
  <si>
    <t>PAY-202608-0550</t>
  </si>
  <si>
    <t>INV-202605-0215</t>
  </si>
  <si>
    <t>PAY-202608-0551</t>
  </si>
  <si>
    <t>INV-202606-0045</t>
  </si>
  <si>
    <t>PAY-202608-0552</t>
  </si>
  <si>
    <t>INV-202606-0060</t>
  </si>
  <si>
    <t>PAY-202608-0553</t>
  </si>
  <si>
    <t>INV-202606-0093</t>
  </si>
  <si>
    <t>PAY-202608-0554</t>
  </si>
  <si>
    <t>INV-202606-0121</t>
  </si>
  <si>
    <t>PAY-202608-0555</t>
  </si>
  <si>
    <t>INV-202606-0208</t>
  </si>
  <si>
    <t>PAY-202608-0556</t>
  </si>
  <si>
    <t>INV-202606-0211</t>
  </si>
  <si>
    <t>PAY-202608-0557</t>
  </si>
  <si>
    <t>INV-202606-0229</t>
  </si>
  <si>
    <t>PAY-202608-0558</t>
  </si>
  <si>
    <t>INV-202606-0255</t>
  </si>
  <si>
    <t>PAY-202608-0559</t>
  </si>
  <si>
    <t>INV-202607-0003</t>
  </si>
  <si>
    <t>PAY-202608-0560</t>
  </si>
  <si>
    <t>INV-202607-0028</t>
  </si>
  <si>
    <t>PAY-202608-0561</t>
  </si>
  <si>
    <t>INV-202607-0085</t>
  </si>
  <si>
    <t>PAY-202608-0562</t>
  </si>
  <si>
    <t>INV-202607-0090</t>
  </si>
  <si>
    <t>PAY-202608-0563</t>
  </si>
  <si>
    <t>INV-202607-0098</t>
  </si>
  <si>
    <t>PAY-202608-0564</t>
  </si>
  <si>
    <t>INV-202607-0284</t>
  </si>
  <si>
    <t>PAY-202608-0565</t>
  </si>
  <si>
    <t>INV-202608-0001</t>
  </si>
  <si>
    <t>PAY-202608-0566</t>
  </si>
  <si>
    <t>INV-202608-0006</t>
  </si>
  <si>
    <t>PAY-202608-0567</t>
  </si>
  <si>
    <t>INV-202608-0018</t>
  </si>
  <si>
    <t>PAY-202608-0568</t>
  </si>
  <si>
    <t>INV-202608-0040</t>
  </si>
  <si>
    <t>PAY-202608-0569</t>
  </si>
  <si>
    <t>INV-202608-0067</t>
  </si>
  <si>
    <t>PAY-202608-0570</t>
  </si>
  <si>
    <t>INV-202608-0073</t>
  </si>
  <si>
    <t>PAY-202608-0571</t>
  </si>
  <si>
    <t>INV-202608-0124</t>
  </si>
  <si>
    <t>PAY-202608-0572</t>
  </si>
  <si>
    <t>INV-202608-0162</t>
  </si>
  <si>
    <t>PAY-202608-0573</t>
  </si>
  <si>
    <t>INV-202608-0223</t>
  </si>
  <si>
    <t>PAY-202608-0574</t>
  </si>
  <si>
    <t>INV-202605-0256</t>
  </si>
  <si>
    <t>PAY-202608-0575</t>
  </si>
  <si>
    <t>INV-202606-0088</t>
  </si>
  <si>
    <t>PAY-202608-0576</t>
  </si>
  <si>
    <t>PAY-202608-0577</t>
  </si>
  <si>
    <t>PAY-202608-0578</t>
  </si>
  <si>
    <t>PAY-202608-0579</t>
  </si>
  <si>
    <t>INV-202607-0078</t>
  </si>
  <si>
    <t>PAY-202608-0580</t>
  </si>
  <si>
    <t>INV-202607-0153</t>
  </si>
  <si>
    <t>PAY-202608-0581</t>
  </si>
  <si>
    <t>INV-202607-0179</t>
  </si>
  <si>
    <t>PAY-202608-0582</t>
  </si>
  <si>
    <t>INV-202607-0196</t>
  </si>
  <si>
    <t>PAY-202608-0583</t>
  </si>
  <si>
    <t>INV-202607-0202</t>
  </si>
  <si>
    <t>PAY-202608-0584</t>
  </si>
  <si>
    <t>INV-202607-0211</t>
  </si>
  <si>
    <t>PAY-202608-0585</t>
  </si>
  <si>
    <t>INV-202607-0216</t>
  </si>
  <si>
    <t>PAY-202608-0586</t>
  </si>
  <si>
    <t>PAY-202608-0587</t>
  </si>
  <si>
    <t>PAY-202608-0588</t>
  </si>
  <si>
    <t>INV-202608-0107</t>
  </si>
  <si>
    <t>PAY-202608-0589</t>
  </si>
  <si>
    <t>INV-202608-0114</t>
  </si>
  <si>
    <t>PAY-202608-0590</t>
  </si>
  <si>
    <t>INV-202608-0189</t>
  </si>
  <si>
    <t>PAY-202608-0591</t>
  </si>
  <si>
    <t>INV-202608-0232</t>
  </si>
  <si>
    <t>PAY-202608-0592</t>
  </si>
  <si>
    <t>INV-202608-0265</t>
  </si>
  <si>
    <t>PAY-202608-0593</t>
  </si>
  <si>
    <t>INV-202606-0111</t>
  </si>
  <si>
    <t>PAY-202608-0594</t>
  </si>
  <si>
    <t>INV-202606-0237</t>
  </si>
  <si>
    <t>PAY-202608-0595</t>
  </si>
  <si>
    <t>INV-202606-0295</t>
  </si>
  <si>
    <t>PAY-202608-0596</t>
  </si>
  <si>
    <t>INV-202607-0137</t>
  </si>
  <si>
    <t>PAY-202608-0597</t>
  </si>
  <si>
    <t>INV-202607-0141</t>
  </si>
  <si>
    <t>PAY-202608-0598</t>
  </si>
  <si>
    <t>PAY-202608-0599</t>
  </si>
  <si>
    <t>INV-202607-0158</t>
  </si>
  <si>
    <t>PAY-202608-0600</t>
  </si>
  <si>
    <t>INV-202607-0203</t>
  </si>
  <si>
    <t>PAY-202608-0601</t>
  </si>
  <si>
    <t>INV-202608-0007</t>
  </si>
  <si>
    <t>PAY-202608-0602</t>
  </si>
  <si>
    <t>INV-202608-0023</t>
  </si>
  <si>
    <t>PAY-202608-0603</t>
  </si>
  <si>
    <t>INV-202608-0048</t>
  </si>
  <si>
    <t>PAY-202608-0604</t>
  </si>
  <si>
    <t>INV-202608-0053</t>
  </si>
  <si>
    <t>PAY-202608-0605</t>
  </si>
  <si>
    <t>INV-202608-0155</t>
  </si>
  <si>
    <t>PAY-202608-0606</t>
  </si>
  <si>
    <t>INV-202608-0192</t>
  </si>
  <si>
    <t>PAY-202608-0607</t>
  </si>
  <si>
    <t>INV-202605-0097</t>
  </si>
  <si>
    <t>PAY-202608-0608</t>
  </si>
  <si>
    <t>INV-202605-0295</t>
  </si>
  <si>
    <t>PAY-202608-0609</t>
  </si>
  <si>
    <t>INV-202606-0017</t>
  </si>
  <si>
    <t>PAY-202608-0610</t>
  </si>
  <si>
    <t>INV-202606-0269</t>
  </si>
  <si>
    <t>PAY-202608-0611</t>
  </si>
  <si>
    <t>INV-202606-0275</t>
  </si>
  <si>
    <t>PAY-202608-0612</t>
  </si>
  <si>
    <t>INV-202606-0279</t>
  </si>
  <si>
    <t>PAY-202608-0613</t>
  </si>
  <si>
    <t>INV-202606-0290</t>
  </si>
  <si>
    <t>PAY-202608-0614</t>
  </si>
  <si>
    <t>PAY-202608-0615</t>
  </si>
  <si>
    <t>PAY-202608-0616</t>
  </si>
  <si>
    <t>INV-202607-0045</t>
  </si>
  <si>
    <t>PAY-202608-0617</t>
  </si>
  <si>
    <t>INV-202607-0160</t>
  </si>
  <si>
    <t>PAY-202608-0618</t>
  </si>
  <si>
    <t>PAY-202608-0619</t>
  </si>
  <si>
    <t>INV-202608-0054</t>
  </si>
  <si>
    <t>PAY-202608-0620</t>
  </si>
  <si>
    <t>INV-202608-0076</t>
  </si>
  <si>
    <t>PAY-202608-0621</t>
  </si>
  <si>
    <t>INV-202608-0096</t>
  </si>
  <si>
    <t>PAY-202608-0622</t>
  </si>
  <si>
    <t>PAY-202608-0623</t>
  </si>
  <si>
    <t>INV-202608-0118</t>
  </si>
  <si>
    <t>PAY-202608-0624</t>
  </si>
  <si>
    <t>INV-202608-0138</t>
  </si>
  <si>
    <t>PAY-202608-0625</t>
  </si>
  <si>
    <t>INV-202608-0146</t>
  </si>
  <si>
    <t>PAY-202608-0626</t>
  </si>
  <si>
    <t>INV-202608-0152</t>
  </si>
  <si>
    <t>PAY-202608-0627</t>
  </si>
  <si>
    <t>INV-202608-0167</t>
  </si>
  <si>
    <t>PAY-202608-0628</t>
  </si>
  <si>
    <t>INV-202608-0176</t>
  </si>
  <si>
    <t>PAY-202608-0629</t>
  </si>
  <si>
    <t>INV-202608-0190</t>
  </si>
  <si>
    <t>PAY-202608-0630</t>
  </si>
  <si>
    <t>INV-202606-0079</t>
  </si>
  <si>
    <t>PAY-202608-0631</t>
  </si>
  <si>
    <t>INV-202606-0215</t>
  </si>
  <si>
    <t>PAY-202608-0632</t>
  </si>
  <si>
    <t>INV-202606-0216</t>
  </si>
  <si>
    <t>PAY-202608-0633</t>
  </si>
  <si>
    <t>PAY-202608-0634</t>
  </si>
  <si>
    <t>INV-202607-0061</t>
  </si>
  <si>
    <t>PAY-202608-0635</t>
  </si>
  <si>
    <t>INV-202607-0063</t>
  </si>
  <si>
    <t>PAY-202608-0636</t>
  </si>
  <si>
    <t>INV-202607-0086</t>
  </si>
  <si>
    <t>PAY-202608-0637</t>
  </si>
  <si>
    <t>INV-202607-0091</t>
  </si>
  <si>
    <t>PAY-202608-0638</t>
  </si>
  <si>
    <t>PAY-202608-0639</t>
  </si>
  <si>
    <t>INV-202607-0105</t>
  </si>
  <si>
    <t>PAY-202608-0640</t>
  </si>
  <si>
    <t>INV-202607-0206</t>
  </si>
  <si>
    <t>PAY-202608-0641</t>
  </si>
  <si>
    <t>INV-202608-0014</t>
  </si>
  <si>
    <t>PAY-202608-0642</t>
  </si>
  <si>
    <t>PAY-202608-0643</t>
  </si>
  <si>
    <t>PAY-202608-0644</t>
  </si>
  <si>
    <t>INV-202608-0052</t>
  </si>
  <si>
    <t>PAY-202608-0645</t>
  </si>
  <si>
    <t>INV-202608-0063</t>
  </si>
  <si>
    <t>PAY-202608-0646</t>
  </si>
  <si>
    <t>INV-202608-0089</t>
  </si>
  <si>
    <t>PAY-202608-0647</t>
  </si>
  <si>
    <t>INV-202608-0090</t>
  </si>
  <si>
    <t>PAY-202608-0648</t>
  </si>
  <si>
    <t>INV-202608-0098</t>
  </si>
  <si>
    <t>PAY-202608-0649</t>
  </si>
  <si>
    <t>INV-202608-0111</t>
  </si>
  <si>
    <t>PAY-202608-0650</t>
  </si>
  <si>
    <t>INV-202608-0137</t>
  </si>
  <si>
    <t>PAY-202608-0651</t>
  </si>
  <si>
    <t>INV-202608-0144</t>
  </si>
  <si>
    <t>PAY-202608-0652</t>
  </si>
  <si>
    <t>INV-202608-0160</t>
  </si>
  <si>
    <t>PAY-202608-0653</t>
  </si>
  <si>
    <t>PAY-202608-0654</t>
  </si>
  <si>
    <t>INV-202608-0200</t>
  </si>
  <si>
    <t>PAY-202608-0655</t>
  </si>
  <si>
    <t>INV-202608-0282</t>
  </si>
  <si>
    <t>PAY-202608-0656</t>
  </si>
  <si>
    <t>INV-202608-0905</t>
  </si>
  <si>
    <t>totalpaid</t>
  </si>
  <si>
    <t>CustomerID</t>
  </si>
  <si>
    <t>InvoiceDate</t>
  </si>
  <si>
    <t>DueDate</t>
  </si>
  <si>
    <t>InvoiceAmount</t>
  </si>
  <si>
    <t>SalesRep</t>
  </si>
  <si>
    <t>outstanding</t>
  </si>
  <si>
    <t>DaysPastDue</t>
  </si>
  <si>
    <t xml:space="preserve">Bucket </t>
  </si>
  <si>
    <t>invoices_2026-04.csv</t>
  </si>
  <si>
    <t>C005</t>
  </si>
  <si>
    <t>Mahbub Alam</t>
  </si>
  <si>
    <t>Settled</t>
  </si>
  <si>
    <t>C010</t>
  </si>
  <si>
    <t>Imran Hossain</t>
  </si>
  <si>
    <t>C004</t>
  </si>
  <si>
    <t>Nusrat Jahan</t>
  </si>
  <si>
    <t>90+</t>
  </si>
  <si>
    <t>C013</t>
  </si>
  <si>
    <t>C049</t>
  </si>
  <si>
    <t>Farzana Akter</t>
  </si>
  <si>
    <t>C032</t>
  </si>
  <si>
    <t>Shirin Sultana</t>
  </si>
  <si>
    <t>C045</t>
  </si>
  <si>
    <t>C044</t>
  </si>
  <si>
    <t>C008</t>
  </si>
  <si>
    <t>C039</t>
  </si>
  <si>
    <t>C030</t>
  </si>
  <si>
    <t>Tanvir Ahmed</t>
  </si>
  <si>
    <t>C017</t>
  </si>
  <si>
    <t>C009</t>
  </si>
  <si>
    <t>C042</t>
  </si>
  <si>
    <t>C001</t>
  </si>
  <si>
    <t>C007</t>
  </si>
  <si>
    <t>C022</t>
  </si>
  <si>
    <t>C050</t>
  </si>
  <si>
    <t>C046</t>
  </si>
  <si>
    <t>C020</t>
  </si>
  <si>
    <t>INV-202604-0022</t>
  </si>
  <si>
    <t>C026</t>
  </si>
  <si>
    <t>INV-202604-0023</t>
  </si>
  <si>
    <t>C028</t>
  </si>
  <si>
    <t>C033</t>
  </si>
  <si>
    <t>C016</t>
  </si>
  <si>
    <t>C015</t>
  </si>
  <si>
    <t>INV-202604-0031</t>
  </si>
  <si>
    <t>C036</t>
  </si>
  <si>
    <t>C041</t>
  </si>
  <si>
    <t>C021</t>
  </si>
  <si>
    <t>C012</t>
  </si>
  <si>
    <t>INV-202604-0038</t>
  </si>
  <si>
    <t>C002</t>
  </si>
  <si>
    <t>C029</t>
  </si>
  <si>
    <t>C014</t>
  </si>
  <si>
    <t>C043</t>
  </si>
  <si>
    <t>C031</t>
  </si>
  <si>
    <t>C040</t>
  </si>
  <si>
    <t>C003</t>
  </si>
  <si>
    <t>C006</t>
  </si>
  <si>
    <t>INV-202604-0058</t>
  </si>
  <si>
    <t>C034</t>
  </si>
  <si>
    <t>C023</t>
  </si>
  <si>
    <t>C025</t>
  </si>
  <si>
    <t>61-90</t>
  </si>
  <si>
    <t>C019</t>
  </si>
  <si>
    <t>C035</t>
  </si>
  <si>
    <t>C024</t>
  </si>
  <si>
    <t>C038</t>
  </si>
  <si>
    <t>invoices_2026-05.csv</t>
  </si>
  <si>
    <t>C037</t>
  </si>
  <si>
    <t>C027</t>
  </si>
  <si>
    <t>INV-202604-0095</t>
  </si>
  <si>
    <t>INV-202604-0101</t>
  </si>
  <si>
    <t>C048</t>
  </si>
  <si>
    <t>C018</t>
  </si>
  <si>
    <t>C051</t>
  </si>
  <si>
    <t>INV-202604-0146</t>
  </si>
  <si>
    <t>C047</t>
  </si>
  <si>
    <t>INV-202604-0179</t>
  </si>
  <si>
    <t>INV-202604-0217</t>
  </si>
  <si>
    <t>INV-202604-0251</t>
  </si>
  <si>
    <t>INV-202604-0263</t>
  </si>
  <si>
    <t>INV-202604-0277</t>
  </si>
  <si>
    <t>INV-202604-0282</t>
  </si>
  <si>
    <t>INV-202604-0285</t>
  </si>
  <si>
    <t>invoices_2026-06.csv</t>
  </si>
  <si>
    <t>INV-202604-0293</t>
  </si>
  <si>
    <t>INV-202604-0294</t>
  </si>
  <si>
    <t>INV-202605-0029</t>
  </si>
  <si>
    <t>INV-202605-0052</t>
  </si>
  <si>
    <t>31-60</t>
  </si>
  <si>
    <t>INV-202605-0073</t>
  </si>
  <si>
    <t>INV-202605-0095</t>
  </si>
  <si>
    <t>INV-202605-0117</t>
  </si>
  <si>
    <t>C011</t>
  </si>
  <si>
    <t>INV-202605-0124</t>
  </si>
  <si>
    <t>INV-202605-0125</t>
  </si>
  <si>
    <t>INV-202605-0155</t>
  </si>
  <si>
    <t>INV-202605-0159</t>
  </si>
  <si>
    <t>INV-202605-0164</t>
  </si>
  <si>
    <t>INV-202605-0165</t>
  </si>
  <si>
    <t>1-30</t>
  </si>
  <si>
    <t>INV-202605-0188</t>
  </si>
  <si>
    <t>INV-202605-0189</t>
  </si>
  <si>
    <t>INV-202605-0194</t>
  </si>
  <si>
    <t>INV-202605-0199</t>
  </si>
  <si>
    <t>INV-202605-0220</t>
  </si>
  <si>
    <t>INV-202605-0221</t>
  </si>
  <si>
    <t>INV-202605-0223</t>
  </si>
  <si>
    <t>invoices_2026-07.csv</t>
  </si>
  <si>
    <t>INV-202605-0254</t>
  </si>
  <si>
    <t>INV-202605-0266</t>
  </si>
  <si>
    <t>INV-202605-0269</t>
  </si>
  <si>
    <t>INV-202605-0296</t>
  </si>
  <si>
    <t>INV-202606-0001</t>
  </si>
  <si>
    <t>INV-202606-0021</t>
  </si>
  <si>
    <t>INV-202606-0039</t>
  </si>
  <si>
    <t>INV-202606-0047</t>
  </si>
  <si>
    <t>INV-202606-0061</t>
  </si>
  <si>
    <t>INV-202606-0073</t>
  </si>
  <si>
    <t>INV-202606-0089</t>
  </si>
  <si>
    <t>INV-202606-0096</t>
  </si>
  <si>
    <t>C060</t>
  </si>
  <si>
    <t>Current</t>
  </si>
  <si>
    <t>INV-202606-0139</t>
  </si>
  <si>
    <t>INV-202606-0157</t>
  </si>
  <si>
    <t>INV-202606-0161</t>
  </si>
  <si>
    <t>INV-202606-0170</t>
  </si>
  <si>
    <t>INV-202606-0196</t>
  </si>
  <si>
    <t>INV-202606-0207</t>
  </si>
  <si>
    <t>INV-202606-0213</t>
  </si>
  <si>
    <t>INV-202606-0221</t>
  </si>
  <si>
    <t>INV-202606-0242</t>
  </si>
  <si>
    <t>INV-202606-0250</t>
  </si>
  <si>
    <t>INV-202606-0258</t>
  </si>
  <si>
    <t>INV-202606-0259</t>
  </si>
  <si>
    <t>INV-202606-0270</t>
  </si>
  <si>
    <t>INV-202606-0285</t>
  </si>
  <si>
    <t>INV-202606-0291</t>
  </si>
  <si>
    <t>INV-202606-0297</t>
  </si>
  <si>
    <t>INV-202606-0298</t>
  </si>
  <si>
    <t>INV-202607-0007</t>
  </si>
  <si>
    <t>INV-202607-0008</t>
  </si>
  <si>
    <t>INV-202607-0012</t>
  </si>
  <si>
    <t>INV-202607-0015</t>
  </si>
  <si>
    <t>INV-202607-0021</t>
  </si>
  <si>
    <t>INV-202607-0035</t>
  </si>
  <si>
    <t>INV-202607-0036</t>
  </si>
  <si>
    <t>INV-202607-0049</t>
  </si>
  <si>
    <t>INV-202607-0050</t>
  </si>
  <si>
    <t>INV-202607-0054</t>
  </si>
  <si>
    <t>INV-202607-0057</t>
  </si>
  <si>
    <t>INV-202607-0058</t>
  </si>
  <si>
    <t>INV-202607-0066</t>
  </si>
  <si>
    <t>INV-202607-0068</t>
  </si>
  <si>
    <t>INV-202607-0079</t>
  </si>
  <si>
    <t>INV-202607-0081</t>
  </si>
  <si>
    <t>INV-202607-0084</t>
  </si>
  <si>
    <t>INV-202607-0087</t>
  </si>
  <si>
    <t>INV-202607-0111</t>
  </si>
  <si>
    <t>INV-202607-0113</t>
  </si>
  <si>
    <t>INV-202607-0119</t>
  </si>
  <si>
    <t>INV-202607-0120</t>
  </si>
  <si>
    <t>INV-202607-0124</t>
  </si>
  <si>
    <t>INV-202607-0125</t>
  </si>
  <si>
    <t>INV-202607-0128</t>
  </si>
  <si>
    <t>INV-202607-0131</t>
  </si>
  <si>
    <t>INV-202607-0136</t>
  </si>
  <si>
    <t>INV-202607-0144</t>
  </si>
  <si>
    <t>INV-202607-0145</t>
  </si>
  <si>
    <t>INV-202607-0149</t>
  </si>
  <si>
    <t>INV-202607-0154</t>
  </si>
  <si>
    <t>INV-202607-0156</t>
  </si>
  <si>
    <t>INV-202607-0157</t>
  </si>
  <si>
    <t>INV-202607-0161</t>
  </si>
  <si>
    <t>INV-202607-0163</t>
  </si>
  <si>
    <t>INV-202607-0165</t>
  </si>
  <si>
    <t>INV-202607-0175</t>
  </si>
  <si>
    <t>INV-202607-0177</t>
  </si>
  <si>
    <t>INV-202607-0180</t>
  </si>
  <si>
    <t>INV-202607-0183</t>
  </si>
  <si>
    <t>INV-202607-0187</t>
  </si>
  <si>
    <t>INV-202607-0188</t>
  </si>
  <si>
    <t>INV-202607-0189</t>
  </si>
  <si>
    <t>INV-202607-0193</t>
  </si>
  <si>
    <t>INV-202607-0194</t>
  </si>
  <si>
    <t>INV-202607-0200</t>
  </si>
  <si>
    <t>INV-202607-0205</t>
  </si>
  <si>
    <t>INV-202607-0210</t>
  </si>
  <si>
    <t>INV-202607-0213</t>
  </si>
  <si>
    <t>INV-202607-0214</t>
  </si>
  <si>
    <t>INV-202607-0215</t>
  </si>
  <si>
    <t>INV-202607-0221</t>
  </si>
  <si>
    <t>INV-202607-0223</t>
  </si>
  <si>
    <t>INV-202607-0224</t>
  </si>
  <si>
    <t>INV-202607-0225</t>
  </si>
  <si>
    <t>INV-202607-0226</t>
  </si>
  <si>
    <t>INV-202607-0227</t>
  </si>
  <si>
    <t>INV-202607-0231</t>
  </si>
  <si>
    <t>INV-202607-0241</t>
  </si>
  <si>
    <t>INV-202607-0246</t>
  </si>
  <si>
    <t>INV-202607-0249</t>
  </si>
  <si>
    <t>INV-202607-0253</t>
  </si>
  <si>
    <t>INV-202607-0254</t>
  </si>
  <si>
    <t>INV-202607-0255</t>
  </si>
  <si>
    <t>INV-202607-0262</t>
  </si>
  <si>
    <t>INV-202607-0272</t>
  </si>
  <si>
    <t>INV-202607-0273</t>
  </si>
  <si>
    <t>INV-202607-0274</t>
  </si>
  <si>
    <t>INV-202607-0287</t>
  </si>
  <si>
    <t>INV-202607-0288</t>
  </si>
  <si>
    <t>INV-202607-0291</t>
  </si>
  <si>
    <t>INV-202607-0292</t>
  </si>
  <si>
    <t>INV-202607-0293</t>
  </si>
  <si>
    <t>INV-202607-0294</t>
  </si>
  <si>
    <t>INV-202607-0296</t>
  </si>
  <si>
    <t>INV-202607-0297</t>
  </si>
  <si>
    <t>INV-202607-0299</t>
  </si>
  <si>
    <t>INV-202607-0300</t>
  </si>
  <si>
    <t>invoices_2026-08.csv</t>
  </si>
  <si>
    <t>INV-202608-0008</t>
  </si>
  <si>
    <t>INV-202608-0011</t>
  </si>
  <si>
    <t>INV-202608-0012</t>
  </si>
  <si>
    <t>INV-202608-0013</t>
  </si>
  <si>
    <t>INV-202608-0017</t>
  </si>
  <si>
    <t>INV-202608-0019</t>
  </si>
  <si>
    <t>INV-202608-0021</t>
  </si>
  <si>
    <t>INV-202608-0022</t>
  </si>
  <si>
    <t>INV-202608-0024</t>
  </si>
  <si>
    <t>INV-202608-0029</t>
  </si>
  <si>
    <t>INV-202608-0030</t>
  </si>
  <si>
    <t>INV-202608-0031</t>
  </si>
  <si>
    <t>INV-202608-0037</t>
  </si>
  <si>
    <t>INV-202608-0041</t>
  </si>
  <si>
    <t>INV-202608-0045</t>
  </si>
  <si>
    <t>INV-202608-0046</t>
  </si>
  <si>
    <t>INV-202608-0047</t>
  </si>
  <si>
    <t>INV-202608-0049</t>
  </si>
  <si>
    <t>INV-202608-0051</t>
  </si>
  <si>
    <t>INV-202608-0056</t>
  </si>
  <si>
    <t>INV-202608-0061</t>
  </si>
  <si>
    <t>INV-202608-0062</t>
  </si>
  <si>
    <t>INV-202608-0064</t>
  </si>
  <si>
    <t>INV-202608-0068</t>
  </si>
  <si>
    <t>INV-202608-0070</t>
  </si>
  <si>
    <t>INV-202608-0072</t>
  </si>
  <si>
    <t>INV-202608-0074</t>
  </si>
  <si>
    <t>INV-202608-0075</t>
  </si>
  <si>
    <t>INV-202608-0078</t>
  </si>
  <si>
    <t>INV-202608-0080</t>
  </si>
  <si>
    <t>INV-202608-0081</t>
  </si>
  <si>
    <t>INV-202608-0082</t>
  </si>
  <si>
    <t>INV-202608-0097</t>
  </si>
  <si>
    <t>INV-202608-0099</t>
  </si>
  <si>
    <t>INV-202608-0100</t>
  </si>
  <si>
    <t>INV-202608-0101</t>
  </si>
  <si>
    <t>INV-202608-0102</t>
  </si>
  <si>
    <t>INV-202608-0105</t>
  </si>
  <si>
    <t>INV-202608-0106</t>
  </si>
  <si>
    <t>INV-202608-0108</t>
  </si>
  <si>
    <t>INV-202608-0109</t>
  </si>
  <si>
    <t>INV-202608-0113</t>
  </si>
  <si>
    <t>INV-202608-0116</t>
  </si>
  <si>
    <t>INV-202608-0117</t>
  </si>
  <si>
    <t>INV-202608-0119</t>
  </si>
  <si>
    <t>INV-202608-0120</t>
  </si>
  <si>
    <t>INV-202608-0121</t>
  </si>
  <si>
    <t>INV-202608-0122</t>
  </si>
  <si>
    <t>INV-202608-0123</t>
  </si>
  <si>
    <t>INV-202608-0126</t>
  </si>
  <si>
    <t>INV-202608-0127</t>
  </si>
  <si>
    <t>INV-202608-0129</t>
  </si>
  <si>
    <t>INV-202608-0131</t>
  </si>
  <si>
    <t>INV-202608-0132</t>
  </si>
  <si>
    <t>INV-202608-0133</t>
  </si>
  <si>
    <t>INV-202608-0134</t>
  </si>
  <si>
    <t>INV-202608-0135</t>
  </si>
  <si>
    <t>INV-202608-0136</t>
  </si>
  <si>
    <t>INV-202608-0139</t>
  </si>
  <si>
    <t>INV-202608-0142</t>
  </si>
  <si>
    <t>INV-202608-0145</t>
  </si>
  <si>
    <t>INV-202608-0147</t>
  </si>
  <si>
    <t>INV-202608-0148</t>
  </si>
  <si>
    <t>INV-202608-0149</t>
  </si>
  <si>
    <t>INV-202608-0150</t>
  </si>
  <si>
    <t>INV-202608-0151</t>
  </si>
  <si>
    <t>INV-202608-0154</t>
  </si>
  <si>
    <t>INV-202608-0156</t>
  </si>
  <si>
    <t>INV-202608-0157</t>
  </si>
  <si>
    <t>INV-202608-0159</t>
  </si>
  <si>
    <t>INV-202608-0166</t>
  </si>
  <si>
    <t>INV-202608-0168</t>
  </si>
  <si>
    <t>INV-202608-0169</t>
  </si>
  <si>
    <t>INV-202608-0171</t>
  </si>
  <si>
    <t>INV-202608-0172</t>
  </si>
  <si>
    <t>INV-202608-0173</t>
  </si>
  <si>
    <t>INV-202608-0175</t>
  </si>
  <si>
    <t>INV-202608-0177</t>
  </si>
  <si>
    <t>INV-202608-0178</t>
  </si>
  <si>
    <t>INV-202608-0179</t>
  </si>
  <si>
    <t>INV-202608-0181</t>
  </si>
  <si>
    <t>INV-202608-0182</t>
  </si>
  <si>
    <t>INV-202608-0183</t>
  </si>
  <si>
    <t>INV-202608-0184</t>
  </si>
  <si>
    <t>INV-202608-0185</t>
  </si>
  <si>
    <t>INV-202608-0186</t>
  </si>
  <si>
    <t>INV-202608-0187</t>
  </si>
  <si>
    <t>INV-202608-0188</t>
  </si>
  <si>
    <t>INV-202608-0191</t>
  </si>
  <si>
    <t>INV-202608-0194</t>
  </si>
  <si>
    <t>INV-202608-0195</t>
  </si>
  <si>
    <t>INV-202608-0196</t>
  </si>
  <si>
    <t>INV-202608-0197</t>
  </si>
  <si>
    <t>INV-202608-0198</t>
  </si>
  <si>
    <t>INV-202608-0199</t>
  </si>
  <si>
    <t>INV-202608-0201</t>
  </si>
  <si>
    <t>INV-202608-0202</t>
  </si>
  <si>
    <t>INV-202608-0203</t>
  </si>
  <si>
    <t>INV-202608-0204</t>
  </si>
  <si>
    <t>INV-202608-0205</t>
  </si>
  <si>
    <t>INV-202608-0206</t>
  </si>
  <si>
    <t>INV-202608-0207</t>
  </si>
  <si>
    <t>INV-202608-0208</t>
  </si>
  <si>
    <t>INV-202608-0209</t>
  </si>
  <si>
    <t>INV-202608-0210</t>
  </si>
  <si>
    <t>INV-202608-0211</t>
  </si>
  <si>
    <t>INV-202608-0212</t>
  </si>
  <si>
    <t>INV-202608-0213</t>
  </si>
  <si>
    <t>C072</t>
  </si>
  <si>
    <t>INV-202608-0214</t>
  </si>
  <si>
    <t>INV-202608-0215</t>
  </si>
  <si>
    <t>INV-202608-0216</t>
  </si>
  <si>
    <t>INV-202608-0217</t>
  </si>
  <si>
    <t>INV-202608-0218</t>
  </si>
  <si>
    <t>INV-202608-0219</t>
  </si>
  <si>
    <t>INV-202608-0220</t>
  </si>
  <si>
    <t>INV-202608-0221</t>
  </si>
  <si>
    <t>INV-202608-0222</t>
  </si>
  <si>
    <t>INV-202608-0224</t>
  </si>
  <si>
    <t>INV-202608-0225</t>
  </si>
  <si>
    <t>INV-202608-0227</t>
  </si>
  <si>
    <t>INV-202608-0228</t>
  </si>
  <si>
    <t>INV-202608-0229</t>
  </si>
  <si>
    <t>INV-202608-0231</t>
  </si>
  <si>
    <t>INV-202608-0233</t>
  </si>
  <si>
    <t>INV-202608-0234</t>
  </si>
  <si>
    <t>INV-202608-0235</t>
  </si>
  <si>
    <t>INV-202608-0236</t>
  </si>
  <si>
    <t>INV-202608-0237</t>
  </si>
  <si>
    <t>INV-202608-0238</t>
  </si>
  <si>
    <t>INV-202608-0239</t>
  </si>
  <si>
    <t>INV-202608-0240</t>
  </si>
  <si>
    <t>INV-202608-0241</t>
  </si>
  <si>
    <t>INV-202608-0242</t>
  </si>
  <si>
    <t>INV-202608-0243</t>
  </si>
  <si>
    <t>INV-202608-0244</t>
  </si>
  <si>
    <t>INV-202608-0245</t>
  </si>
  <si>
    <t>INV-202608-0246</t>
  </si>
  <si>
    <t>INV-202608-0247</t>
  </si>
  <si>
    <t>INV-202608-0248</t>
  </si>
  <si>
    <t>INV-202608-0249</t>
  </si>
  <si>
    <t>INV-202608-0250</t>
  </si>
  <si>
    <t>INV-202608-0251</t>
  </si>
  <si>
    <t>INV-202608-0252</t>
  </si>
  <si>
    <t>INV-202608-0253</t>
  </si>
  <si>
    <t>INV-202608-0254</t>
  </si>
  <si>
    <t>INV-202608-0255</t>
  </si>
  <si>
    <t>INV-202608-0256</t>
  </si>
  <si>
    <t>INV-202608-0257</t>
  </si>
  <si>
    <t>INV-202608-0258</t>
  </si>
  <si>
    <t>INV-202608-0259</t>
  </si>
  <si>
    <t>INV-202608-0260</t>
  </si>
  <si>
    <t>INV-202608-0261</t>
  </si>
  <si>
    <t>INV-202608-0262</t>
  </si>
  <si>
    <t>INV-202608-0263</t>
  </si>
  <si>
    <t>INV-202608-0264</t>
  </si>
  <si>
    <t>INV-202608-0266</t>
  </si>
  <si>
    <t>INV-202608-0267</t>
  </si>
  <si>
    <t>INV-202608-0268</t>
  </si>
  <si>
    <t>INV-202608-0269</t>
  </si>
  <si>
    <t>INV-202608-0270</t>
  </si>
  <si>
    <t>INV-202608-0271</t>
  </si>
  <si>
    <t>INV-202608-0272</t>
  </si>
  <si>
    <t>INV-202608-0273</t>
  </si>
  <si>
    <t>INV-202608-0274</t>
  </si>
  <si>
    <t>INV-202608-0275</t>
  </si>
  <si>
    <t>INV-202608-0276</t>
  </si>
  <si>
    <t>INV-202608-0277</t>
  </si>
  <si>
    <t>INV-202608-0278</t>
  </si>
  <si>
    <t>INV-202608-0279</t>
  </si>
  <si>
    <t>INV-202608-0280</t>
  </si>
  <si>
    <t>INV-202608-0281</t>
  </si>
  <si>
    <t>INV-202608-0283</t>
  </si>
  <si>
    <t>INV-202608-0284</t>
  </si>
  <si>
    <t>INV-202608-0285</t>
  </si>
  <si>
    <t>INV-202608-0286</t>
  </si>
  <si>
    <t>INV-202608-0287</t>
  </si>
  <si>
    <t>INV-202608-0288</t>
  </si>
  <si>
    <t>INV-202608-0289</t>
  </si>
  <si>
    <t>INV-202608-0290</t>
  </si>
  <si>
    <t>INV-202608-0291</t>
  </si>
  <si>
    <t>INV-202608-0292</t>
  </si>
  <si>
    <t>INV-202608-0293</t>
  </si>
  <si>
    <t>INV-202608-0295</t>
  </si>
  <si>
    <t>INV-202608-0296</t>
  </si>
  <si>
    <t>INV-202608-0297</t>
  </si>
  <si>
    <t>INV-202608-0298</t>
  </si>
  <si>
    <t>INV-202608-0299</t>
  </si>
  <si>
    <t>INV-202608-0300</t>
  </si>
  <si>
    <t>Row Labels</t>
  </si>
  <si>
    <t>Grand Total</t>
  </si>
  <si>
    <t>Count of InvoiceID</t>
  </si>
  <si>
    <t>Sum of outstanding</t>
  </si>
  <si>
    <t>Sum of totalpaid</t>
  </si>
  <si>
    <t>Sum of InvoiceAmount</t>
  </si>
  <si>
    <t>KPI</t>
  </si>
  <si>
    <t>Result</t>
  </si>
  <si>
    <t>Target</t>
  </si>
  <si>
    <t>Status</t>
  </si>
  <si>
    <t>Collection Rate</t>
  </si>
  <si>
    <t>Overdue %</t>
  </si>
  <si>
    <r>
      <t>DSO (days)</t>
    </r>
    <r>
      <rPr>
        <sz val="11"/>
        <color theme="1"/>
        <rFont val="Calibri"/>
        <family val="2"/>
        <scheme val="minor"/>
      </rPr>
      <t>.</t>
    </r>
  </si>
  <si>
    <t>GL balance (Aug)</t>
  </si>
  <si>
    <t>Subledger</t>
  </si>
  <si>
    <t>Overpayment</t>
  </si>
  <si>
    <t>Gross AR</t>
  </si>
  <si>
    <t>Gap</t>
  </si>
  <si>
    <t>Gap%</t>
  </si>
  <si>
    <t>Receivables Summary, August 2026</t>
  </si>
  <si>
    <t>Where we stand</t>
  </si>
  <si>
    <t>Collection rate: 68% (target 30% or more)</t>
  </si>
  <si>
    <t>Overdue share: 35% (target 40% or less)</t>
  </si>
  <si>
    <t>DSO: 49.7 days (target 50 or less)</t>
  </si>
  <si>
    <t>Customers owe us 138.2M. Of that, 47.9M is overdue (35%).</t>
  </si>
  <si>
    <t>What to watch</t>
  </si>
  <si>
    <t>One slow month would turn it Amber.</t>
  </si>
  <si>
    <t xml:space="preserve">DSO is only 0.3 days under its limit. </t>
  </si>
  <si>
    <t xml:space="preserve"> 4.7M is more than 90 days past due</t>
  </si>
  <si>
    <t>Can we trust the numbers?</t>
  </si>
  <si>
    <t>Mostly. I left out 11 invoice rows that had missing keys or an unreadable date.</t>
  </si>
  <si>
    <t>Five invoices were overpaid, 685K in total, and I show those separately.</t>
  </si>
  <si>
    <t>Our invoice total is 222K (0.16%) below the ledger balance. I haven’t found the cause yet.</t>
  </si>
  <si>
    <t>Next steps</t>
  </si>
  <si>
    <t>1.Follow up on the oldest overdue invoices.</t>
  </si>
  <si>
    <t>2.Check the five overpaid invoices for refunds.</t>
  </si>
  <si>
    <t>3.Trace the 222K ledger difference.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</si>
</sst>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9" fontId="0" fillId="0" borderId="0" xfId="1" applyFont="1"/>
    <xf numFmtId="2" fontId="0" fillId="0" borderId="0" xfId="0" applyNumberFormat="1"/>
    <xf numFmtId="10" fontId="0" fillId="0" borderId="0" xfId="1" applyNumberFormat="1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</cellXfs>
  <cellStyles count="2">
    <cellStyle name="Normal" xfId="0" builtinId="0"/>
    <cellStyle name="Percent" xfId="1" builtinId="5"/>
  </cellStyles>
  <dxfs count="15"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u shayed" refreshedDate="46313.802954861108" createdVersion="7" refreshedVersion="7" minRefreshableVersion="3" recordCount="1495" xr:uid="{4D13AA3C-C129-4516-B9DA-7718797B364B}">
  <cacheSource type="worksheet">
    <worksheetSource name="Invoices_Clean"/>
  </cacheSource>
  <cacheFields count="11">
    <cacheField name="Source.Name" numFmtId="0">
      <sharedItems/>
    </cacheField>
    <cacheField name="InvoiceID" numFmtId="0">
      <sharedItems/>
    </cacheField>
    <cacheField name="CustomerID" numFmtId="0">
      <sharedItems/>
    </cacheField>
    <cacheField name="InvoiceDate" numFmtId="14">
      <sharedItems containsSemiMixedTypes="0" containsNonDate="0" containsDate="1" containsString="0" minDate="2026-04-01T00:00:00" maxDate="2026-09-01T00:00:00"/>
    </cacheField>
    <cacheField name="DueDate" numFmtId="14">
      <sharedItems containsSemiMixedTypes="0" containsNonDate="0" containsDate="1" containsString="0" minDate="2026-04-16T00:00:00" maxDate="2026-10-31T00:00:00"/>
    </cacheField>
    <cacheField name="InvoiceAmount" numFmtId="0">
      <sharedItems containsSemiMixedTypes="0" containsString="0" containsNumber="1" minValue="5000" maxValue="2000000"/>
    </cacheField>
    <cacheField name="SalesRep" numFmtId="0">
      <sharedItems/>
    </cacheField>
    <cacheField name="totalpaid" numFmtId="0">
      <sharedItems containsString="0" containsBlank="1" containsNumber="1" minValue="3412.8100000000004" maxValue="2503202.56"/>
    </cacheField>
    <cacheField name="outstanding" numFmtId="0">
      <sharedItems containsSemiMixedTypes="0" containsString="0" containsNumber="1" minValue="-503202.56" maxValue="2000000"/>
    </cacheField>
    <cacheField name="DaysPastDue" numFmtId="0">
      <sharedItems containsSemiMixedTypes="0" containsString="0" containsNumber="1" containsInteger="1" minValue="-60" maxValue="137"/>
    </cacheField>
    <cacheField name="Bucket " numFmtId="0">
      <sharedItems count="6">
        <s v="Settled"/>
        <s v="90+"/>
        <s v="61-90"/>
        <s v="31-60"/>
        <s v="1-30"/>
        <s v="Curr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5">
  <r>
    <s v="invoices_2026-04.csv"/>
    <s v="INV-202604-0001"/>
    <s v="C005"/>
    <d v="2026-04-01T00:00:00"/>
    <d v="2026-05-01T00:00:00"/>
    <n v="214337.16"/>
    <s v="Mahbub Alam"/>
    <n v="214337.16"/>
    <n v="0"/>
    <n v="122"/>
    <x v="0"/>
  </r>
  <r>
    <s v="invoices_2026-04.csv"/>
    <s v="INV-202604-0068"/>
    <s v="C010"/>
    <d v="2026-04-07T00:00:00"/>
    <d v="2026-04-22T00:00:00"/>
    <n v="39629.51"/>
    <s v="Imran Hossain"/>
    <n v="39629.51"/>
    <n v="0"/>
    <n v="131"/>
    <x v="0"/>
  </r>
  <r>
    <s v="invoices_2026-04.csv"/>
    <s v="INV-202604-0002"/>
    <s v="C004"/>
    <d v="2026-04-01T00:00:00"/>
    <d v="2026-05-16T00:00:00"/>
    <n v="1149650.67"/>
    <s v="Nusrat Jahan"/>
    <n v="669319.77"/>
    <n v="480330.9"/>
    <n v="107"/>
    <x v="1"/>
  </r>
  <r>
    <s v="invoices_2026-04.csv"/>
    <s v="INV-202604-0003"/>
    <s v="C013"/>
    <d v="2026-04-01T00:00:00"/>
    <d v="2026-05-31T00:00:00"/>
    <n v="1817460.64"/>
    <s v="Nusrat Jahan"/>
    <n v="1817460.64"/>
    <n v="0"/>
    <n v="92"/>
    <x v="0"/>
  </r>
  <r>
    <s v="invoices_2026-04.csv"/>
    <s v="INV-202604-0010"/>
    <s v="C049"/>
    <d v="2026-04-02T00:00:00"/>
    <d v="2026-04-17T00:00:00"/>
    <n v="42793.120000000003"/>
    <s v="Farzana Akter"/>
    <n v="42793.120000000003"/>
    <n v="0"/>
    <n v="136"/>
    <x v="0"/>
  </r>
  <r>
    <s v="invoices_2026-04.csv"/>
    <s v="INV-202604-0004"/>
    <s v="C032"/>
    <d v="2026-04-01T00:00:00"/>
    <d v="2026-05-16T00:00:00"/>
    <n v="509948.8"/>
    <s v="Shirin Sultana"/>
    <n v="509948.8"/>
    <n v="0"/>
    <n v="107"/>
    <x v="0"/>
  </r>
  <r>
    <s v="invoices_2026-04.csv"/>
    <s v="INV-202604-0007"/>
    <s v="C045"/>
    <d v="2026-04-01T00:00:00"/>
    <d v="2026-04-16T00:00:00"/>
    <n v="32196.74"/>
    <s v="Mahbub Alam"/>
    <n v="9224.93"/>
    <n v="22971.81"/>
    <n v="137"/>
    <x v="1"/>
  </r>
  <r>
    <s v="invoices_2026-04.csv"/>
    <s v="INV-202604-0005"/>
    <s v="C044"/>
    <d v="2026-04-01T00:00:00"/>
    <d v="2026-05-01T00:00:00"/>
    <n v="665301.81000000006"/>
    <s v="Mahbub Alam"/>
    <n v="665301.81000000006"/>
    <n v="0"/>
    <n v="122"/>
    <x v="0"/>
  </r>
  <r>
    <s v="invoices_2026-04.csv"/>
    <s v="INV-202604-0076"/>
    <s v="C008"/>
    <d v="2026-04-08T00:00:00"/>
    <d v="2026-05-23T00:00:00"/>
    <n v="718198.89"/>
    <s v="Shirin Sultana"/>
    <n v="334342.28000000003"/>
    <n v="383856.61"/>
    <n v="100"/>
    <x v="1"/>
  </r>
  <r>
    <s v="invoices_2026-04.csv"/>
    <s v="INV-202604-0006"/>
    <s v="C013"/>
    <d v="2026-04-01T00:00:00"/>
    <d v="2026-05-31T00:00:00"/>
    <n v="127338.64"/>
    <s v="Nusrat Jahan"/>
    <n v="127338.64"/>
    <n v="0"/>
    <n v="92"/>
    <x v="0"/>
  </r>
  <r>
    <s v="invoices_2026-04.csv"/>
    <s v="INV-202604-0029"/>
    <s v="C010"/>
    <d v="2026-04-04T00:00:00"/>
    <d v="2026-04-19T00:00:00"/>
    <n v="51572.18"/>
    <s v="Imran Hossain"/>
    <n v="51572.18"/>
    <n v="0"/>
    <n v="134"/>
    <x v="0"/>
  </r>
  <r>
    <s v="invoices_2026-04.csv"/>
    <s v="INV-202604-0039"/>
    <s v="C039"/>
    <d v="2026-04-04T00:00:00"/>
    <d v="2026-04-19T00:00:00"/>
    <n v="36169.97"/>
    <s v="Mahbub Alam"/>
    <n v="36169.97"/>
    <n v="0"/>
    <n v="134"/>
    <x v="0"/>
  </r>
  <r>
    <s v="invoices_2026-04.csv"/>
    <s v="INV-202604-0008"/>
    <s v="C030"/>
    <d v="2026-04-02T00:00:00"/>
    <d v="2026-05-02T00:00:00"/>
    <n v="85509.119999999995"/>
    <s v="Tanvir Ahmed"/>
    <n v="85509.119999999995"/>
    <n v="0"/>
    <n v="121"/>
    <x v="0"/>
  </r>
  <r>
    <s v="invoices_2026-04.csv"/>
    <s v="INV-202604-0036"/>
    <s v="C017"/>
    <d v="2026-04-04T00:00:00"/>
    <d v="2026-04-19T00:00:00"/>
    <n v="27448.39"/>
    <s v="Tanvir Ahmed"/>
    <n v="27448.39"/>
    <n v="0"/>
    <n v="134"/>
    <x v="0"/>
  </r>
  <r>
    <s v="invoices_2026-04.csv"/>
    <s v="INV-202604-0009"/>
    <s v="C030"/>
    <d v="2026-04-02T00:00:00"/>
    <d v="2026-05-02T00:00:00"/>
    <n v="79679.97"/>
    <s v="Tanvir Ahmed"/>
    <n v="79679.97"/>
    <n v="0"/>
    <n v="121"/>
    <x v="0"/>
  </r>
  <r>
    <s v="invoices_2026-04.csv"/>
    <s v="INV-202604-0046"/>
    <s v="C039"/>
    <d v="2026-04-05T00:00:00"/>
    <d v="2026-04-20T00:00:00"/>
    <n v="99962.32"/>
    <s v="Mahbub Alam"/>
    <n v="99962.32"/>
    <n v="0"/>
    <n v="133"/>
    <x v="0"/>
  </r>
  <r>
    <s v="invoices_2026-04.csv"/>
    <s v="INV-202604-0083"/>
    <s v="C049"/>
    <d v="2026-04-09T00:00:00"/>
    <d v="2026-04-24T00:00:00"/>
    <n v="7264.56"/>
    <s v="Farzana Akter"/>
    <n v="7264.56"/>
    <n v="0"/>
    <n v="129"/>
    <x v="0"/>
  </r>
  <r>
    <s v="invoices_2026-04.csv"/>
    <s v="INV-202604-0011"/>
    <s v="C004"/>
    <d v="2026-04-02T00:00:00"/>
    <d v="2026-05-17T00:00:00"/>
    <n v="882047.15"/>
    <s v="Nusrat Jahan"/>
    <n v="882047.15"/>
    <n v="0"/>
    <n v="106"/>
    <x v="0"/>
  </r>
  <r>
    <s v="invoices_2026-04.csv"/>
    <s v="INV-202604-0105"/>
    <s v="C009"/>
    <d v="2026-04-12T00:00:00"/>
    <d v="2026-05-27T00:00:00"/>
    <n v="379497.59"/>
    <s v="Farzana Akter"/>
    <n v="134037.78999999998"/>
    <n v="245459.8"/>
    <n v="96"/>
    <x v="1"/>
  </r>
  <r>
    <s v="invoices_2026-04.csv"/>
    <s v="INV-202604-0012"/>
    <s v="C042"/>
    <d v="2026-04-02T00:00:00"/>
    <d v="2026-05-02T00:00:00"/>
    <n v="55788.98"/>
    <s v="Nusrat Jahan"/>
    <n v="55788.98"/>
    <n v="0"/>
    <n v="121"/>
    <x v="0"/>
  </r>
  <r>
    <s v="invoices_2026-04.csv"/>
    <s v="INV-202604-0099"/>
    <s v="C001"/>
    <d v="2026-04-11T00:00:00"/>
    <d v="2026-04-26T00:00:00"/>
    <n v="94500.37"/>
    <s v="Nusrat Jahan"/>
    <n v="94500.37"/>
    <n v="0"/>
    <n v="127"/>
    <x v="0"/>
  </r>
  <r>
    <s v="invoices_2026-04.csv"/>
    <s v="INV-202604-0013"/>
    <s v="C008"/>
    <d v="2026-04-02T00:00:00"/>
    <d v="2026-05-17T00:00:00"/>
    <n v="1188517.72"/>
    <s v="Shirin Sultana"/>
    <n v="541498.90999999992"/>
    <n v="647018.81000000006"/>
    <n v="106"/>
    <x v="1"/>
  </r>
  <r>
    <s v="invoices_2026-04.csv"/>
    <s v="INV-202604-0018"/>
    <s v="C007"/>
    <d v="2026-04-03T00:00:00"/>
    <d v="2026-05-03T00:00:00"/>
    <n v="546706.82999999996"/>
    <s v="Mahbub Alam"/>
    <n v="546706.82999999996"/>
    <n v="0"/>
    <n v="120"/>
    <x v="0"/>
  </r>
  <r>
    <s v="invoices_2026-04.csv"/>
    <s v="INV-202604-0014"/>
    <s v="C004"/>
    <d v="2026-04-02T00:00:00"/>
    <d v="2026-05-17T00:00:00"/>
    <n v="500227.23"/>
    <s v="Nusrat Jahan"/>
    <n v="500227.23"/>
    <n v="0"/>
    <n v="106"/>
    <x v="0"/>
  </r>
  <r>
    <s v="invoices_2026-04.csv"/>
    <s v="INV-202604-0051"/>
    <s v="C022"/>
    <d v="2026-04-05T00:00:00"/>
    <d v="2026-04-20T00:00:00"/>
    <n v="8175.72"/>
    <s v="Mahbub Alam"/>
    <n v="8175.72"/>
    <n v="0"/>
    <n v="133"/>
    <x v="0"/>
  </r>
  <r>
    <s v="invoices_2026-04.csv"/>
    <s v="INV-202604-0015"/>
    <s v="C009"/>
    <d v="2026-04-02T00:00:00"/>
    <d v="2026-05-17T00:00:00"/>
    <n v="271037.68"/>
    <s v="Farzana Akter"/>
    <n v="271037.68"/>
    <n v="0"/>
    <n v="106"/>
    <x v="0"/>
  </r>
  <r>
    <s v="invoices_2026-04.csv"/>
    <s v="INV-202604-0059"/>
    <s v="C050"/>
    <d v="2026-04-06T00:00:00"/>
    <d v="2026-04-21T00:00:00"/>
    <n v="22124.76"/>
    <s v="Nusrat Jahan"/>
    <n v="22124.76"/>
    <n v="0"/>
    <n v="132"/>
    <x v="0"/>
  </r>
  <r>
    <s v="invoices_2026-04.csv"/>
    <s v="INV-202604-0016"/>
    <s v="C007"/>
    <d v="2026-04-02T00:00:00"/>
    <d v="2026-05-02T00:00:00"/>
    <n v="522811.22"/>
    <s v="Mahbub Alam"/>
    <n v="522811.22"/>
    <n v="0"/>
    <n v="121"/>
    <x v="0"/>
  </r>
  <r>
    <s v="invoices_2026-04.csv"/>
    <s v="INV-202604-0077"/>
    <s v="C039"/>
    <d v="2026-04-08T00:00:00"/>
    <d v="2026-04-23T00:00:00"/>
    <n v="24514.11"/>
    <s v="Mahbub Alam"/>
    <n v="24514.11"/>
    <n v="0"/>
    <n v="130"/>
    <x v="0"/>
  </r>
  <r>
    <s v="invoices_2026-04.csv"/>
    <s v="INV-202604-0017"/>
    <s v="C005"/>
    <d v="2026-04-03T00:00:00"/>
    <d v="2026-05-03T00:00:00"/>
    <n v="8650.16"/>
    <s v="Mahbub Alam"/>
    <n v="8650.16"/>
    <n v="0"/>
    <n v="120"/>
    <x v="0"/>
  </r>
  <r>
    <s v="invoices_2026-04.csv"/>
    <s v="INV-202604-0020"/>
    <s v="C046"/>
    <d v="2026-04-03T00:00:00"/>
    <d v="2026-05-03T00:00:00"/>
    <n v="27230.9"/>
    <s v="Mahbub Alam"/>
    <n v="27230.9"/>
    <n v="0"/>
    <n v="120"/>
    <x v="0"/>
  </r>
  <r>
    <s v="invoices_2026-04.csv"/>
    <s v="INV-202604-0030"/>
    <s v="C007"/>
    <d v="2026-04-04T00:00:00"/>
    <d v="2026-05-04T00:00:00"/>
    <n v="1765522.45"/>
    <s v="Mahbub Alam"/>
    <n v="1765522.45"/>
    <n v="0"/>
    <n v="119"/>
    <x v="0"/>
  </r>
  <r>
    <s v="invoices_2026-04.csv"/>
    <s v="INV-202604-0019"/>
    <s v="C020"/>
    <d v="2026-04-03T00:00:00"/>
    <d v="2026-06-02T00:00:00"/>
    <n v="5000"/>
    <s v="Nusrat Jahan"/>
    <n v="5000"/>
    <n v="0"/>
    <n v="90"/>
    <x v="0"/>
  </r>
  <r>
    <s v="invoices_2026-04.csv"/>
    <s v="INV-202604-0056"/>
    <s v="C039"/>
    <d v="2026-04-06T00:00:00"/>
    <d v="2026-04-21T00:00:00"/>
    <n v="9219.24"/>
    <s v="Mahbub Alam"/>
    <n v="9219.24"/>
    <n v="0"/>
    <n v="132"/>
    <x v="0"/>
  </r>
  <r>
    <s v="invoices_2026-04.csv"/>
    <s v="INV-202604-0090"/>
    <s v="C039"/>
    <d v="2026-04-10T00:00:00"/>
    <d v="2026-04-25T00:00:00"/>
    <n v="48338.559999999998"/>
    <s v="Mahbub Alam"/>
    <n v="48338.559999999998"/>
    <n v="0"/>
    <n v="128"/>
    <x v="0"/>
  </r>
  <r>
    <s v="invoices_2026-04.csv"/>
    <s v="INV-202604-0021"/>
    <s v="C007"/>
    <d v="2026-04-03T00:00:00"/>
    <d v="2026-05-03T00:00:00"/>
    <n v="583679.15"/>
    <s v="Mahbub Alam"/>
    <n v="583679.15"/>
    <n v="0"/>
    <n v="120"/>
    <x v="0"/>
  </r>
  <r>
    <s v="invoices_2026-04.csv"/>
    <s v="INV-202604-0100"/>
    <s v="C049"/>
    <d v="2026-04-11T00:00:00"/>
    <d v="2026-04-26T00:00:00"/>
    <n v="108158.82"/>
    <s v="Farzana Akter"/>
    <n v="108158.82"/>
    <n v="0"/>
    <n v="127"/>
    <x v="0"/>
  </r>
  <r>
    <s v="invoices_2026-04.csv"/>
    <s v="INV-202604-0022"/>
    <s v="C030"/>
    <d v="2026-04-03T00:00:00"/>
    <d v="2026-05-03T00:00:00"/>
    <n v="55091.8"/>
    <s v="Tanvir Ahmed"/>
    <m/>
    <n v="55091.8"/>
    <n v="120"/>
    <x v="1"/>
  </r>
  <r>
    <s v="invoices_2026-04.csv"/>
    <s v="INV-202604-0104"/>
    <s v="C026"/>
    <d v="2026-04-12T00:00:00"/>
    <d v="2026-05-12T00:00:00"/>
    <n v="230131.18"/>
    <s v="Nusrat Jahan"/>
    <n v="230131.18"/>
    <n v="0"/>
    <n v="111"/>
    <x v="0"/>
  </r>
  <r>
    <s v="invoices_2026-04.csv"/>
    <s v="INV-202604-0023"/>
    <s v="C001"/>
    <d v="2026-04-03T00:00:00"/>
    <d v="2026-04-18T00:00:00"/>
    <n v="11600.41"/>
    <s v="Nusrat Jahan"/>
    <m/>
    <n v="11600.41"/>
    <n v="135"/>
    <x v="1"/>
  </r>
  <r>
    <s v="invoices_2026-04.csv"/>
    <s v="INV-202604-0024"/>
    <s v="C039"/>
    <d v="2026-04-03T00:00:00"/>
    <d v="2026-04-18T00:00:00"/>
    <n v="17793.82"/>
    <s v="Mahbub Alam"/>
    <n v="17793.82"/>
    <n v="0"/>
    <n v="135"/>
    <x v="0"/>
  </r>
  <r>
    <s v="invoices_2026-04.csv"/>
    <s v="INV-202604-0026"/>
    <s v="C049"/>
    <d v="2026-04-03T00:00:00"/>
    <d v="2026-04-18T00:00:00"/>
    <n v="22098.71"/>
    <s v="Farzana Akter"/>
    <n v="22098.71"/>
    <n v="0"/>
    <n v="135"/>
    <x v="0"/>
  </r>
  <r>
    <s v="invoices_2026-04.csv"/>
    <s v="INV-202604-0025"/>
    <s v="C013"/>
    <d v="2026-04-03T00:00:00"/>
    <d v="2026-06-02T00:00:00"/>
    <n v="1397143.66"/>
    <s v="Nusrat Jahan"/>
    <n v="1397143.66"/>
    <n v="0"/>
    <n v="90"/>
    <x v="0"/>
  </r>
  <r>
    <s v="invoices_2026-04.csv"/>
    <s v="INV-202604-0049"/>
    <s v="C010"/>
    <d v="2026-04-05T00:00:00"/>
    <d v="2026-04-20T00:00:00"/>
    <n v="53355.13"/>
    <s v="Imran Hossain"/>
    <n v="53355.13"/>
    <n v="0"/>
    <n v="133"/>
    <x v="0"/>
  </r>
  <r>
    <s v="invoices_2026-04.csv"/>
    <s v="INV-202604-0097"/>
    <s v="C028"/>
    <d v="2026-04-10T00:00:00"/>
    <d v="2026-06-09T00:00:00"/>
    <n v="393243.17"/>
    <s v="Shirin Sultana"/>
    <n v="393243.17000000004"/>
    <n v="-"/>
    <n v="83"/>
    <x v="0"/>
  </r>
  <r>
    <s v="invoices_2026-04.csv"/>
    <s v="INV-202604-0027"/>
    <s v="C033"/>
    <d v="2026-04-04T00:00:00"/>
    <d v="2026-05-04T00:00:00"/>
    <n v="1178993.8899999999"/>
    <s v="Nusrat Jahan"/>
    <n v="1178993.8899999999"/>
    <n v="0"/>
    <n v="119"/>
    <x v="0"/>
  </r>
  <r>
    <s v="invoices_2026-04.csv"/>
    <s v="INV-202604-0111"/>
    <s v="C039"/>
    <d v="2026-04-13T00:00:00"/>
    <d v="2026-04-28T00:00:00"/>
    <n v="88282.99"/>
    <s v="Mahbub Alam"/>
    <n v="88282.99"/>
    <n v="0"/>
    <n v="125"/>
    <x v="0"/>
  </r>
  <r>
    <s v="invoices_2026-04.csv"/>
    <s v="INV-202604-0028"/>
    <s v="C016"/>
    <d v="2026-04-04T00:00:00"/>
    <d v="2026-05-04T00:00:00"/>
    <n v="34936.22"/>
    <s v="Shirin Sultana"/>
    <n v="34936.22"/>
    <n v="0"/>
    <n v="119"/>
    <x v="0"/>
  </r>
  <r>
    <s v="invoices_2026-04.csv"/>
    <s v="INV-202604-0119"/>
    <s v="C015"/>
    <d v="2026-04-14T00:00:00"/>
    <d v="2026-05-14T00:00:00"/>
    <n v="53036.73"/>
    <s v="Nusrat Jahan"/>
    <n v="53036.73"/>
    <n v="0"/>
    <n v="109"/>
    <x v="0"/>
  </r>
  <r>
    <s v="invoices_2026-04.csv"/>
    <s v="INV-202604-0191"/>
    <s v="C033"/>
    <d v="2026-04-20T00:00:00"/>
    <d v="2026-05-20T00:00:00"/>
    <n v="140414.04999999999"/>
    <s v="Nusrat Jahan"/>
    <n v="140414.04999999999"/>
    <n v="0"/>
    <n v="103"/>
    <x v="0"/>
  </r>
  <r>
    <s v="invoices_2026-04.csv"/>
    <s v="INV-202604-0031"/>
    <s v="C036"/>
    <d v="2026-04-04T00:00:00"/>
    <d v="2026-05-04T00:00:00"/>
    <n v="39639.410000000003"/>
    <s v="Nusrat Jahan"/>
    <m/>
    <n v="39639.410000000003"/>
    <n v="119"/>
    <x v="1"/>
  </r>
  <r>
    <s v="invoices_2026-04.csv"/>
    <s v="INV-202604-0168"/>
    <s v="C022"/>
    <d v="2026-04-18T00:00:00"/>
    <d v="2026-05-03T00:00:00"/>
    <n v="88263.65"/>
    <s v="Mahbub Alam"/>
    <n v="88263.65"/>
    <n v="0"/>
    <n v="120"/>
    <x v="0"/>
  </r>
  <r>
    <s v="invoices_2026-04.csv"/>
    <s v="INV-202604-0032"/>
    <s v="C045"/>
    <d v="2026-04-04T00:00:00"/>
    <d v="2026-04-19T00:00:00"/>
    <n v="13505.83"/>
    <s v="Mahbub Alam"/>
    <n v="3425.83"/>
    <n v="10080"/>
    <n v="134"/>
    <x v="1"/>
  </r>
  <r>
    <s v="invoices_2026-04.csv"/>
    <s v="INV-202604-0176"/>
    <s v="C041"/>
    <d v="2026-04-19T00:00:00"/>
    <d v="2026-05-19T00:00:00"/>
    <n v="9653.5400000000009"/>
    <s v="Tanvir Ahmed"/>
    <n v="6496.39"/>
    <n v="3157.15"/>
    <n v="104"/>
    <x v="1"/>
  </r>
  <r>
    <s v="invoices_2026-04.csv"/>
    <s v="INV-202604-0033"/>
    <s v="C045"/>
    <d v="2026-04-04T00:00:00"/>
    <d v="2026-04-19T00:00:00"/>
    <n v="31535.279999999999"/>
    <s v="Mahbub Alam"/>
    <n v="31535.279999999999"/>
    <n v="0"/>
    <n v="134"/>
    <x v="0"/>
  </r>
  <r>
    <s v="invoices_2026-04.csv"/>
    <s v="INV-202604-0201"/>
    <s v="C001"/>
    <d v="2026-04-21T00:00:00"/>
    <d v="2026-05-06T00:00:00"/>
    <n v="27260.21"/>
    <s v="Nusrat Jahan"/>
    <n v="21317.739999999998"/>
    <n v="5942.47"/>
    <n v="117"/>
    <x v="1"/>
  </r>
  <r>
    <s v="invoices_2026-04.csv"/>
    <s v="INV-202604-0034"/>
    <s v="C045"/>
    <d v="2026-04-04T00:00:00"/>
    <d v="2026-04-19T00:00:00"/>
    <n v="33835.75"/>
    <s v="Mahbub Alam"/>
    <n v="33835.75"/>
    <n v="0"/>
    <n v="134"/>
    <x v="0"/>
  </r>
  <r>
    <s v="invoices_2026-04.csv"/>
    <s v="INV-202604-0122"/>
    <s v="C049"/>
    <d v="2026-04-14T00:00:00"/>
    <d v="2026-04-29T00:00:00"/>
    <n v="38842.44"/>
    <s v="Farzana Akter"/>
    <n v="38842.44"/>
    <n v="0"/>
    <n v="124"/>
    <x v="0"/>
  </r>
  <r>
    <s v="invoices_2026-04.csv"/>
    <s v="INV-202604-0035"/>
    <s v="C021"/>
    <d v="2026-04-04T00:00:00"/>
    <d v="2026-05-04T00:00:00"/>
    <n v="38288.050000000003"/>
    <s v="Mahbub Alam"/>
    <n v="38288.050000000003"/>
    <n v="0"/>
    <n v="119"/>
    <x v="0"/>
  </r>
  <r>
    <s v="invoices_2026-04.csv"/>
    <s v="INV-202604-0143"/>
    <s v="C049"/>
    <d v="2026-04-16T00:00:00"/>
    <d v="2026-05-01T00:00:00"/>
    <n v="7707.5"/>
    <s v="Farzana Akter"/>
    <n v="7707.5"/>
    <n v="0"/>
    <n v="122"/>
    <x v="0"/>
  </r>
  <r>
    <s v="invoices_2026-04.csv"/>
    <s v="INV-202604-0185"/>
    <s v="C026"/>
    <d v="2026-04-20T00:00:00"/>
    <d v="2026-05-20T00:00:00"/>
    <n v="409612.07"/>
    <s v="Nusrat Jahan"/>
    <n v="409612.07"/>
    <n v="0"/>
    <n v="103"/>
    <x v="0"/>
  </r>
  <r>
    <s v="invoices_2026-04.csv"/>
    <s v="INV-202604-0037"/>
    <s v="C012"/>
    <d v="2026-04-04T00:00:00"/>
    <d v="2026-05-04T00:00:00"/>
    <n v="69169.490000000005"/>
    <s v="Shirin Sultana"/>
    <n v="69169.490000000005"/>
    <n v="0"/>
    <n v="119"/>
    <x v="0"/>
  </r>
  <r>
    <s v="invoices_2026-04.csv"/>
    <s v="INV-202604-0043"/>
    <s v="C007"/>
    <d v="2026-04-05T00:00:00"/>
    <d v="2026-05-05T00:00:00"/>
    <n v="682760.91"/>
    <s v="Mahbub Alam"/>
    <n v="682760.91"/>
    <n v="0"/>
    <n v="118"/>
    <x v="0"/>
  </r>
  <r>
    <s v="invoices_2026-04.csv"/>
    <s v="INV-202604-0038"/>
    <s v="C002"/>
    <d v="2026-04-04T00:00:00"/>
    <d v="2026-05-19T00:00:00"/>
    <n v="336898.7"/>
    <s v="Tanvir Ahmed"/>
    <m/>
    <n v="336898.7"/>
    <n v="104"/>
    <x v="1"/>
  </r>
  <r>
    <s v="invoices_2026-04.csv"/>
    <s v="INV-202604-0086"/>
    <s v="C012"/>
    <d v="2026-04-09T00:00:00"/>
    <d v="2026-05-09T00:00:00"/>
    <n v="147113.89000000001"/>
    <s v="Shirin Sultana"/>
    <n v="147113.89000000001"/>
    <n v="0"/>
    <n v="114"/>
    <x v="0"/>
  </r>
  <r>
    <s v="invoices_2026-04.csv"/>
    <s v="INV-202604-0091"/>
    <s v="C007"/>
    <d v="2026-04-10T00:00:00"/>
    <d v="2026-05-10T00:00:00"/>
    <n v="513072.28"/>
    <s v="Mahbub Alam"/>
    <n v="513072.28"/>
    <n v="0"/>
    <n v="113"/>
    <x v="0"/>
  </r>
  <r>
    <s v="invoices_2026-04.csv"/>
    <s v="INV-202604-0040"/>
    <s v="C007"/>
    <d v="2026-04-04T00:00:00"/>
    <d v="2026-05-04T00:00:00"/>
    <n v="290474.34999999998"/>
    <s v="Mahbub Alam"/>
    <n v="290474.34999999998"/>
    <n v="0"/>
    <n v="119"/>
    <x v="0"/>
  </r>
  <r>
    <s v="invoices_2026-04.csv"/>
    <s v="INV-202604-0047"/>
    <s v="C029"/>
    <d v="2026-04-05T00:00:00"/>
    <d v="2026-05-05T00:00:00"/>
    <n v="94625.06"/>
    <s v="Farzana Akter"/>
    <n v="94625.06"/>
    <n v="0"/>
    <n v="118"/>
    <x v="0"/>
  </r>
  <r>
    <s v="invoices_2026-04.csv"/>
    <s v="INV-202604-0041"/>
    <s v="C008"/>
    <d v="2026-04-04T00:00:00"/>
    <d v="2026-05-19T00:00:00"/>
    <n v="343538.24"/>
    <s v="Shirin Sultana"/>
    <n v="343538.24"/>
    <n v="0"/>
    <n v="104"/>
    <x v="0"/>
  </r>
  <r>
    <s v="invoices_2026-04.csv"/>
    <s v="INV-202604-0117"/>
    <s v="C049"/>
    <d v="2026-04-13T00:00:00"/>
    <d v="2026-04-28T00:00:00"/>
    <n v="58604.58"/>
    <s v="Farzana Akter"/>
    <n v="58604.58"/>
    <n v="0"/>
    <n v="125"/>
    <x v="0"/>
  </r>
  <r>
    <s v="invoices_2026-04.csv"/>
    <s v="INV-202604-0042"/>
    <s v="C046"/>
    <d v="2026-04-05T00:00:00"/>
    <d v="2026-05-05T00:00:00"/>
    <n v="173054.81"/>
    <s v="Mahbub Alam"/>
    <n v="173054.81"/>
    <n v="0"/>
    <n v="118"/>
    <x v="0"/>
  </r>
  <r>
    <s v="invoices_2026-04.csv"/>
    <s v="INV-202604-0129"/>
    <s v="C010"/>
    <d v="2026-04-15T00:00:00"/>
    <d v="2026-04-30T00:00:00"/>
    <n v="53401.48"/>
    <s v="Imran Hossain"/>
    <n v="53401.48"/>
    <n v="0"/>
    <n v="123"/>
    <x v="0"/>
  </r>
  <r>
    <s v="invoices_2026-04.csv"/>
    <s v="INV-202604-0154"/>
    <s v="C012"/>
    <d v="2026-04-17T00:00:00"/>
    <d v="2026-05-17T00:00:00"/>
    <n v="155480.20000000001"/>
    <s v="Shirin Sultana"/>
    <n v="155480.20000000001"/>
    <n v="0"/>
    <n v="106"/>
    <x v="0"/>
  </r>
  <r>
    <s v="invoices_2026-04.csv"/>
    <s v="INV-202604-0044"/>
    <s v="C014"/>
    <d v="2026-04-05T00:00:00"/>
    <d v="2026-06-04T00:00:00"/>
    <n v="54158.55"/>
    <s v="Nusrat Jahan"/>
    <n v="54158.55"/>
    <n v="0"/>
    <n v="88"/>
    <x v="0"/>
  </r>
  <r>
    <s v="invoices_2026-04.csv"/>
    <s v="INV-202604-0053"/>
    <s v="C044"/>
    <d v="2026-04-05T00:00:00"/>
    <d v="2026-05-05T00:00:00"/>
    <n v="764311.32"/>
    <s v="Mahbub Alam"/>
    <n v="764311.32"/>
    <n v="0"/>
    <n v="118"/>
    <x v="0"/>
  </r>
  <r>
    <s v="invoices_2026-04.csv"/>
    <s v="INV-202604-0045"/>
    <s v="C013"/>
    <d v="2026-04-05T00:00:00"/>
    <d v="2026-06-04T00:00:00"/>
    <n v="141268.59"/>
    <s v="Nusrat Jahan"/>
    <n v="141268.59"/>
    <n v="0"/>
    <n v="88"/>
    <x v="0"/>
  </r>
  <r>
    <s v="invoices_2026-04.csv"/>
    <s v="INV-202604-0089"/>
    <s v="C012"/>
    <d v="2026-04-09T00:00:00"/>
    <d v="2026-05-09T00:00:00"/>
    <n v="252234.52"/>
    <s v="Shirin Sultana"/>
    <n v="252234.52"/>
    <n v="0"/>
    <n v="114"/>
    <x v="0"/>
  </r>
  <r>
    <s v="invoices_2026-04.csv"/>
    <s v="INV-202604-0106"/>
    <s v="C043"/>
    <d v="2026-04-12T00:00:00"/>
    <d v="2026-05-12T00:00:00"/>
    <n v="89315.72"/>
    <s v="Shirin Sultana"/>
    <n v="89315.72"/>
    <n v="0"/>
    <n v="111"/>
    <x v="0"/>
  </r>
  <r>
    <s v="invoices_2026-04.csv"/>
    <s v="INV-202604-0165"/>
    <s v="C031"/>
    <d v="2026-04-18T00:00:00"/>
    <d v="2026-05-18T00:00:00"/>
    <n v="112204.87"/>
    <s v="Tanvir Ahmed"/>
    <n v="112204.87"/>
    <n v="0"/>
    <n v="105"/>
    <x v="0"/>
  </r>
  <r>
    <s v="invoices_2026-04.csv"/>
    <s v="INV-202604-0048"/>
    <s v="C029"/>
    <d v="2026-04-05T00:00:00"/>
    <d v="2026-05-05T00:00:00"/>
    <n v="36439.1"/>
    <s v="Farzana Akter"/>
    <n v="36439.1"/>
    <n v="0"/>
    <n v="118"/>
    <x v="0"/>
  </r>
  <r>
    <s v="invoices_2026-04.csv"/>
    <s v="INV-202604-0178"/>
    <s v="C007"/>
    <d v="2026-04-19T00:00:00"/>
    <d v="2026-05-19T00:00:00"/>
    <n v="1311016.5"/>
    <s v="Mahbub Alam"/>
    <n v="1311016.5"/>
    <n v="0"/>
    <n v="104"/>
    <x v="0"/>
  </r>
  <r>
    <s v="invoices_2026-04.csv"/>
    <s v="INV-202604-0235"/>
    <s v="C039"/>
    <d v="2026-04-25T00:00:00"/>
    <d v="2026-05-10T00:00:00"/>
    <n v="15449.06"/>
    <s v="Mahbub Alam"/>
    <n v="15449.060000000001"/>
    <n v="-"/>
    <n v="113"/>
    <x v="0"/>
  </r>
  <r>
    <s v="invoices_2026-04.csv"/>
    <s v="INV-202604-0050"/>
    <s v="C043"/>
    <d v="2026-04-05T00:00:00"/>
    <d v="2026-05-05T00:00:00"/>
    <n v="54355.69"/>
    <s v="Shirin Sultana"/>
    <n v="30696.69"/>
    <n v="23659"/>
    <n v="118"/>
    <x v="1"/>
  </r>
  <r>
    <s v="invoices_2026-04.csv"/>
    <s v="INV-202604-0108"/>
    <s v="C031"/>
    <d v="2026-04-12T00:00:00"/>
    <d v="2026-05-12T00:00:00"/>
    <n v="75244.5"/>
    <s v="Tanvir Ahmed"/>
    <n v="75244.5"/>
    <n v="0"/>
    <n v="111"/>
    <x v="0"/>
  </r>
  <r>
    <s v="invoices_2026-04.csv"/>
    <s v="INV-202604-0052"/>
    <s v="C013"/>
    <d v="2026-04-05T00:00:00"/>
    <d v="2026-06-04T00:00:00"/>
    <n v="472566.69"/>
    <s v="Nusrat Jahan"/>
    <n v="472566.69"/>
    <n v="0"/>
    <n v="88"/>
    <x v="0"/>
  </r>
  <r>
    <s v="invoices_2026-04.csv"/>
    <s v="INV-202604-0135"/>
    <s v="C005"/>
    <d v="2026-04-15T00:00:00"/>
    <d v="2026-05-15T00:00:00"/>
    <n v="132211.53"/>
    <s v="Mahbub Alam"/>
    <n v="132211.53"/>
    <n v="0"/>
    <n v="108"/>
    <x v="0"/>
  </r>
  <r>
    <s v="invoices_2026-04.csv"/>
    <s v="INV-202604-0234"/>
    <s v="C049"/>
    <d v="2026-04-25T00:00:00"/>
    <d v="2026-05-10T00:00:00"/>
    <n v="13728.14"/>
    <s v="Farzana Akter"/>
    <n v="13728.14"/>
    <n v="0"/>
    <n v="113"/>
    <x v="0"/>
  </r>
  <r>
    <s v="invoices_2026-04.csv"/>
    <s v="INV-202604-0054"/>
    <s v="C021"/>
    <d v="2026-04-05T00:00:00"/>
    <d v="2026-05-05T00:00:00"/>
    <n v="199798.54"/>
    <s v="Mahbub Alam"/>
    <n v="199798.53999999998"/>
    <n v="0"/>
    <n v="118"/>
    <x v="0"/>
  </r>
  <r>
    <s v="invoices_2026-04.csv"/>
    <s v="INV-202604-0244"/>
    <s v="C022"/>
    <d v="2026-04-25T00:00:00"/>
    <d v="2026-05-10T00:00:00"/>
    <n v="32289.43"/>
    <s v="Mahbub Alam"/>
    <n v="32289.43"/>
    <n v="0"/>
    <n v="113"/>
    <x v="0"/>
  </r>
  <r>
    <s v="invoices_2026-04.csv"/>
    <s v="INV-202604-0055"/>
    <s v="C040"/>
    <d v="2026-04-06T00:00:00"/>
    <d v="2026-06-05T00:00:00"/>
    <n v="255194.2"/>
    <s v="Nusrat Jahan"/>
    <n v="255194.2"/>
    <n v="0"/>
    <n v="87"/>
    <x v="0"/>
  </r>
  <r>
    <s v="invoices_2026-04.csv"/>
    <s v="INV-202604-0066"/>
    <s v="C003"/>
    <d v="2026-04-07T00:00:00"/>
    <d v="2026-05-07T00:00:00"/>
    <n v="72517.64"/>
    <s v="Mahbub Alam"/>
    <n v="85590.61"/>
    <n v="-13072.97"/>
    <n v="116"/>
    <x v="0"/>
  </r>
  <r>
    <s v="invoices_2026-04.csv"/>
    <s v="INV-202604-0128"/>
    <s v="C006"/>
    <d v="2026-04-14T00:00:00"/>
    <d v="2026-05-29T00:00:00"/>
    <n v="156659.23000000001"/>
    <s v="Nusrat Jahan"/>
    <n v="156659.23000000001"/>
    <n v="0"/>
    <n v="94"/>
    <x v="0"/>
  </r>
  <r>
    <s v="invoices_2026-04.csv"/>
    <s v="INV-202604-0057"/>
    <s v="C044"/>
    <d v="2026-04-06T00:00:00"/>
    <d v="2026-05-06T00:00:00"/>
    <n v="520432.09"/>
    <s v="Mahbub Alam"/>
    <n v="520432.09"/>
    <n v="0"/>
    <n v="117"/>
    <x v="0"/>
  </r>
  <r>
    <s v="invoices_2026-04.csv"/>
    <s v="INV-202604-0133"/>
    <s v="C050"/>
    <d v="2026-04-15T00:00:00"/>
    <d v="2026-04-30T00:00:00"/>
    <n v="102613.64"/>
    <s v="Nusrat Jahan"/>
    <n v="102613.64"/>
    <n v="0"/>
    <n v="123"/>
    <x v="0"/>
  </r>
  <r>
    <s v="invoices_2026-04.csv"/>
    <s v="INV-202604-0058"/>
    <s v="C034"/>
    <d v="2026-04-06T00:00:00"/>
    <d v="2026-04-21T00:00:00"/>
    <n v="26255.07"/>
    <s v="Nusrat Jahan"/>
    <m/>
    <n v="26255.07"/>
    <n v="132"/>
    <x v="1"/>
  </r>
  <r>
    <s v="invoices_2026-04.csv"/>
    <s v="INV-202604-0138"/>
    <s v="C023"/>
    <d v="2026-04-15T00:00:00"/>
    <d v="2026-05-15T00:00:00"/>
    <n v="552532.4"/>
    <s v="Nusrat Jahan"/>
    <n v="552532.4"/>
    <n v="0"/>
    <n v="108"/>
    <x v="0"/>
  </r>
  <r>
    <s v="invoices_2026-04.csv"/>
    <s v="INV-202604-0169"/>
    <s v="C022"/>
    <d v="2026-04-18T00:00:00"/>
    <d v="2026-05-03T00:00:00"/>
    <n v="113887.38"/>
    <s v="Mahbub Alam"/>
    <n v="113887.38"/>
    <n v="0"/>
    <n v="120"/>
    <x v="0"/>
  </r>
  <r>
    <s v="invoices_2026-04.csv"/>
    <s v="INV-202604-0060"/>
    <s v="C025"/>
    <d v="2026-04-06T00:00:00"/>
    <d v="2026-05-21T00:00:00"/>
    <n v="320111.78000000003"/>
    <s v="Imran Hossain"/>
    <n v="320111.78000000003"/>
    <n v="0"/>
    <n v="102"/>
    <x v="0"/>
  </r>
  <r>
    <s v="invoices_2026-04.csv"/>
    <s v="INV-202604-0061"/>
    <s v="C014"/>
    <d v="2026-04-06T00:00:00"/>
    <d v="2026-06-05T00:00:00"/>
    <n v="570751.1"/>
    <s v="Nusrat Jahan"/>
    <n v="253067.18"/>
    <n v="317683.92"/>
    <n v="87"/>
    <x v="2"/>
  </r>
  <r>
    <s v="invoices_2026-04.csv"/>
    <s v="INV-202604-0062"/>
    <s v="C031"/>
    <d v="2026-04-06T00:00:00"/>
    <d v="2026-05-06T00:00:00"/>
    <n v="192481.42"/>
    <s v="Tanvir Ahmed"/>
    <n v="192481.42"/>
    <n v="0"/>
    <n v="117"/>
    <x v="0"/>
  </r>
  <r>
    <s v="invoices_2026-04.csv"/>
    <s v="INV-202604-0079"/>
    <s v="C044"/>
    <d v="2026-04-08T00:00:00"/>
    <d v="2026-05-08T00:00:00"/>
    <n v="544610.97"/>
    <s v="Mahbub Alam"/>
    <n v="544610.97"/>
    <n v="0"/>
    <n v="115"/>
    <x v="0"/>
  </r>
  <r>
    <s v="invoices_2026-04.csv"/>
    <s v="INV-202604-0063"/>
    <s v="C019"/>
    <d v="2026-04-06T00:00:00"/>
    <d v="2026-06-05T00:00:00"/>
    <n v="488192.55"/>
    <s v="Tanvir Ahmed"/>
    <n v="488192.55"/>
    <n v="0"/>
    <n v="87"/>
    <x v="0"/>
  </r>
  <r>
    <s v="invoices_2026-04.csv"/>
    <s v="INV-202604-0114"/>
    <s v="C006"/>
    <d v="2026-04-13T00:00:00"/>
    <d v="2026-05-28T00:00:00"/>
    <n v="67859.210000000006"/>
    <s v="Nusrat Jahan"/>
    <n v="67859.210000000006"/>
    <n v="0"/>
    <n v="95"/>
    <x v="0"/>
  </r>
  <r>
    <s v="invoices_2026-04.csv"/>
    <s v="INV-202604-0064"/>
    <s v="C039"/>
    <d v="2026-04-06T00:00:00"/>
    <d v="2026-04-21T00:00:00"/>
    <n v="31535.08"/>
    <s v="Mahbub Alam"/>
    <n v="31535.08"/>
    <n v="0"/>
    <n v="132"/>
    <x v="0"/>
  </r>
  <r>
    <s v="invoices_2026-04.csv"/>
    <s v="INV-202604-0065"/>
    <s v="C008"/>
    <d v="2026-04-07T00:00:00"/>
    <d v="2026-05-22T00:00:00"/>
    <n v="531262.05000000005"/>
    <s v="Shirin Sultana"/>
    <n v="531262.05000000005"/>
    <n v="0"/>
    <n v="101"/>
    <x v="0"/>
  </r>
  <r>
    <s v="invoices_2026-04.csv"/>
    <s v="INV-202604-0257"/>
    <s v="C007"/>
    <d v="2026-04-26T00:00:00"/>
    <d v="2026-05-26T00:00:00"/>
    <n v="537681.73"/>
    <s v="Mahbub Alam"/>
    <n v="537681.73"/>
    <n v="0"/>
    <n v="97"/>
    <x v="0"/>
  </r>
  <r>
    <s v="invoices_2026-04.csv"/>
    <s v="INV-202604-0067"/>
    <s v="C030"/>
    <d v="2026-04-07T00:00:00"/>
    <d v="2026-05-07T00:00:00"/>
    <n v="39270.25"/>
    <s v="Tanvir Ahmed"/>
    <n v="39270.25"/>
    <n v="0"/>
    <n v="116"/>
    <x v="0"/>
  </r>
  <r>
    <s v="invoices_2026-04.csv"/>
    <s v="INV-202604-0148"/>
    <s v="C035"/>
    <d v="2026-04-16T00:00:00"/>
    <d v="2026-05-31T00:00:00"/>
    <n v="217655.91"/>
    <s v="Farzana Akter"/>
    <n v="217655.91"/>
    <n v="0"/>
    <n v="92"/>
    <x v="0"/>
  </r>
  <r>
    <s v="invoices_2026-04.csv"/>
    <s v="INV-202604-0069"/>
    <s v="C046"/>
    <d v="2026-04-07T00:00:00"/>
    <d v="2026-05-07T00:00:00"/>
    <n v="306190.63"/>
    <s v="Mahbub Alam"/>
    <n v="106916.59"/>
    <n v="199274.04"/>
    <n v="116"/>
    <x v="1"/>
  </r>
  <r>
    <s v="invoices_2026-04.csv"/>
    <s v="INV-202604-0166"/>
    <s v="C017"/>
    <d v="2026-04-18T00:00:00"/>
    <d v="2026-05-03T00:00:00"/>
    <n v="156894.60999999999"/>
    <s v="Tanvir Ahmed"/>
    <n v="156894.60999999999"/>
    <n v="0"/>
    <n v="120"/>
    <x v="0"/>
  </r>
  <r>
    <s v="invoices_2026-04.csv"/>
    <s v="INV-202604-0070"/>
    <s v="C009"/>
    <d v="2026-04-08T00:00:00"/>
    <d v="2026-05-23T00:00:00"/>
    <n v="359190.45"/>
    <s v="Farzana Akter"/>
    <n v="359190.45"/>
    <n v="0"/>
    <n v="100"/>
    <x v="0"/>
  </r>
  <r>
    <s v="invoices_2026-04.csv"/>
    <s v="INV-202604-0167"/>
    <s v="C010"/>
    <d v="2026-04-18T00:00:00"/>
    <d v="2026-05-03T00:00:00"/>
    <n v="55990.21"/>
    <s v="Imran Hossain"/>
    <n v="55990.21"/>
    <n v="0"/>
    <n v="120"/>
    <x v="0"/>
  </r>
  <r>
    <s v="invoices_2026-04.csv"/>
    <s v="INV-202604-0071"/>
    <s v="C045"/>
    <d v="2026-04-08T00:00:00"/>
    <d v="2026-04-23T00:00:00"/>
    <n v="17505.68"/>
    <s v="Mahbub Alam"/>
    <n v="17505.68"/>
    <n v="0"/>
    <n v="130"/>
    <x v="0"/>
  </r>
  <r>
    <s v="invoices_2026-04.csv"/>
    <s v="INV-202604-0281"/>
    <s v="C004"/>
    <d v="2026-04-28T00:00:00"/>
    <d v="2026-06-12T00:00:00"/>
    <n v="238781.2"/>
    <s v="Nusrat Jahan"/>
    <n v="238781.2"/>
    <n v="0"/>
    <n v="80"/>
    <x v="0"/>
  </r>
  <r>
    <s v="invoices_2026-04.csv"/>
    <s v="INV-202604-0072"/>
    <s v="C042"/>
    <d v="2026-04-08T00:00:00"/>
    <d v="2026-05-08T00:00:00"/>
    <n v="23608.31"/>
    <s v="Nusrat Jahan"/>
    <n v="23608.31"/>
    <n v="0"/>
    <n v="115"/>
    <x v="0"/>
  </r>
  <r>
    <s v="invoices_2026-04.csv"/>
    <s v="INV-202604-0073"/>
    <s v="C035"/>
    <d v="2026-04-08T00:00:00"/>
    <d v="2026-05-23T00:00:00"/>
    <n v="693940.42"/>
    <s v="Farzana Akter"/>
    <n v="693940.42"/>
    <n v="0"/>
    <n v="100"/>
    <x v="0"/>
  </r>
  <r>
    <s v="invoices_2026-04.csv"/>
    <s v="INV-202604-0087"/>
    <s v="C007"/>
    <d v="2026-04-09T00:00:00"/>
    <d v="2026-05-09T00:00:00"/>
    <n v="292953.32"/>
    <s v="Mahbub Alam"/>
    <n v="292953.32"/>
    <n v="0"/>
    <n v="114"/>
    <x v="0"/>
  </r>
  <r>
    <s v="invoices_2026-04.csv"/>
    <s v="INV-202604-0074"/>
    <s v="C024"/>
    <d v="2026-04-08T00:00:00"/>
    <d v="2026-05-08T00:00:00"/>
    <n v="35099.67"/>
    <s v="Farzana Akter"/>
    <n v="35099.67"/>
    <n v="0"/>
    <n v="115"/>
    <x v="0"/>
  </r>
  <r>
    <s v="invoices_2026-04.csv"/>
    <s v="INV-202604-0093"/>
    <s v="C043"/>
    <d v="2026-04-10T00:00:00"/>
    <d v="2026-05-10T00:00:00"/>
    <n v="62845.29"/>
    <s v="Shirin Sultana"/>
    <n v="62845.29"/>
    <n v="0"/>
    <n v="113"/>
    <x v="0"/>
  </r>
  <r>
    <s v="invoices_2026-04.csv"/>
    <s v="INV-202604-0075"/>
    <s v="C009"/>
    <d v="2026-04-08T00:00:00"/>
    <d v="2026-05-23T00:00:00"/>
    <n v="524985.55000000005"/>
    <s v="Farzana Akter"/>
    <n v="524985.55000000005"/>
    <n v="0"/>
    <n v="100"/>
    <x v="0"/>
  </r>
  <r>
    <s v="invoices_2026-04.csv"/>
    <s v="INV-202604-0262"/>
    <s v="C014"/>
    <d v="2026-04-27T00:00:00"/>
    <d v="2026-06-26T00:00:00"/>
    <n v="109707.86"/>
    <s v="Nusrat Jahan"/>
    <n v="109707.86000000002"/>
    <n v="-"/>
    <n v="66"/>
    <x v="0"/>
  </r>
  <r>
    <s v="invoices_2026-04.csv"/>
    <s v="INV-202604-0297"/>
    <s v="C034"/>
    <d v="2026-04-30T00:00:00"/>
    <d v="2026-05-15T00:00:00"/>
    <n v="20237.419999999998"/>
    <s v="Nusrat Jahan"/>
    <n v="20237.419999999998"/>
    <n v="0"/>
    <n v="108"/>
    <x v="0"/>
  </r>
  <r>
    <s v="invoices_2026-04.csv"/>
    <s v="INV-202604-0078"/>
    <s v="C046"/>
    <d v="2026-04-08T00:00:00"/>
    <d v="2026-05-08T00:00:00"/>
    <n v="287171.09000000003"/>
    <s v="Mahbub Alam"/>
    <n v="287171.09000000003"/>
    <n v="0"/>
    <n v="115"/>
    <x v="0"/>
  </r>
  <r>
    <s v="invoices_2026-04.csv"/>
    <s v="INV-202604-0080"/>
    <s v="C023"/>
    <d v="2026-04-08T00:00:00"/>
    <d v="2026-05-08T00:00:00"/>
    <n v="43318.080000000002"/>
    <s v="Nusrat Jahan"/>
    <n v="43318.080000000002"/>
    <n v="0"/>
    <n v="115"/>
    <x v="0"/>
  </r>
  <r>
    <s v="invoices_2026-04.csv"/>
    <s v="INV-202604-0081"/>
    <s v="C044"/>
    <d v="2026-04-09T00:00:00"/>
    <d v="2026-05-09T00:00:00"/>
    <n v="1495716.75"/>
    <s v="Mahbub Alam"/>
    <n v="1495716.75"/>
    <n v="0"/>
    <n v="114"/>
    <x v="0"/>
  </r>
  <r>
    <s v="invoices_2026-04.csv"/>
    <s v="INV-202604-0238"/>
    <s v="C031"/>
    <d v="2026-04-25T00:00:00"/>
    <d v="2026-05-25T00:00:00"/>
    <n v="23669.47"/>
    <s v="Tanvir Ahmed"/>
    <n v="23669.47"/>
    <n v="0"/>
    <n v="98"/>
    <x v="0"/>
  </r>
  <r>
    <s v="invoices_2026-04.csv"/>
    <s v="INV-202604-0082"/>
    <s v="C046"/>
    <d v="2026-04-09T00:00:00"/>
    <d v="2026-05-09T00:00:00"/>
    <n v="87002.33"/>
    <s v="Mahbub Alam"/>
    <n v="87002.33"/>
    <n v="0"/>
    <n v="114"/>
    <x v="0"/>
  </r>
  <r>
    <s v="invoices_2026-04.csv"/>
    <s v="INV-202604-0241"/>
    <s v="C003"/>
    <d v="2026-04-25T00:00:00"/>
    <d v="2026-05-25T00:00:00"/>
    <n v="5712.31"/>
    <s v="Mahbub Alam"/>
    <n v="5712.31"/>
    <n v="0"/>
    <n v="98"/>
    <x v="0"/>
  </r>
  <r>
    <s v="invoices_2026-04.csv"/>
    <s v="INV-202604-0250"/>
    <s v="C017"/>
    <d v="2026-04-26T00:00:00"/>
    <d v="2026-05-11T00:00:00"/>
    <n v="9983"/>
    <s v="Tanvir Ahmed"/>
    <n v="9983"/>
    <n v="0"/>
    <n v="112"/>
    <x v="0"/>
  </r>
  <r>
    <s v="invoices_2026-04.csv"/>
    <s v="INV-202604-0084"/>
    <s v="C038"/>
    <d v="2026-04-09T00:00:00"/>
    <d v="2026-06-08T00:00:00"/>
    <n v="51875.72"/>
    <s v="Imran Hossain"/>
    <n v="51875.72"/>
    <n v="0"/>
    <n v="84"/>
    <x v="0"/>
  </r>
  <r>
    <s v="invoices_2026-04.csv"/>
    <s v="INV-202604-0085"/>
    <s v="C024"/>
    <d v="2026-04-09T00:00:00"/>
    <d v="2026-05-09T00:00:00"/>
    <n v="13268"/>
    <s v="Farzana Akter"/>
    <n v="13268"/>
    <n v="0"/>
    <n v="114"/>
    <x v="0"/>
  </r>
  <r>
    <s v="invoices_2026-04.csv"/>
    <s v="INV-202604-0103"/>
    <s v="C043"/>
    <d v="2026-04-12T00:00:00"/>
    <d v="2026-05-12T00:00:00"/>
    <n v="55492.68"/>
    <s v="Shirin Sultana"/>
    <n v="55492.68"/>
    <n v="0"/>
    <n v="111"/>
    <x v="0"/>
  </r>
  <r>
    <s v="invoices_2026-04.csv"/>
    <s v="INV-202604-0088"/>
    <s v="C025"/>
    <d v="2026-04-09T00:00:00"/>
    <d v="2026-05-24T00:00:00"/>
    <n v="101661.84"/>
    <s v="Imran Hossain"/>
    <n v="101661.84"/>
    <n v="0"/>
    <n v="99"/>
    <x v="0"/>
  </r>
  <r>
    <s v="invoices_2026-04.csv"/>
    <s v="INV-202604-0123"/>
    <s v="C044"/>
    <d v="2026-04-14T00:00:00"/>
    <d v="2026-05-14T00:00:00"/>
    <n v="2000000"/>
    <s v="Mahbub Alam"/>
    <n v="2000000"/>
    <n v="0"/>
    <n v="109"/>
    <x v="0"/>
  </r>
  <r>
    <s v="invoices_2026-04.csv"/>
    <s v="INV-202604-0265"/>
    <s v="C035"/>
    <d v="2026-04-27T00:00:00"/>
    <d v="2026-06-11T00:00:00"/>
    <n v="2000000"/>
    <s v="Farzana Akter"/>
    <n v="1235139"/>
    <n v="764861"/>
    <n v="81"/>
    <x v="2"/>
  </r>
  <r>
    <s v="invoices_2026-05.csv"/>
    <s v="INV-202605-0019"/>
    <s v="C049"/>
    <d v="2026-05-03T00:00:00"/>
    <d v="2026-05-18T00:00:00"/>
    <n v="50730.98"/>
    <s v="Farzana Akter"/>
    <n v="50730.98"/>
    <n v="0"/>
    <n v="105"/>
    <x v="0"/>
  </r>
  <r>
    <s v="invoices_2026-04.csv"/>
    <s v="INV-202604-0112"/>
    <s v="C043"/>
    <d v="2026-04-13T00:00:00"/>
    <d v="2026-05-13T00:00:00"/>
    <n v="67964.539999999994"/>
    <s v="Shirin Sultana"/>
    <n v="67964.539999999994"/>
    <n v="0"/>
    <n v="110"/>
    <x v="0"/>
  </r>
  <r>
    <s v="invoices_2026-04.csv"/>
    <s v="INV-202604-0092"/>
    <s v="C020"/>
    <d v="2026-04-10T00:00:00"/>
    <d v="2026-06-09T00:00:00"/>
    <n v="206640.27"/>
    <s v="Nusrat Jahan"/>
    <n v="174679.19"/>
    <n v="31961.08"/>
    <n v="83"/>
    <x v="2"/>
  </r>
  <r>
    <s v="invoices_2026-04.csv"/>
    <s v="INV-202604-0180"/>
    <s v="C041"/>
    <d v="2026-04-19T00:00:00"/>
    <d v="2026-05-19T00:00:00"/>
    <n v="143793.24"/>
    <s v="Tanvir Ahmed"/>
    <n v="143793.24"/>
    <n v="0"/>
    <n v="104"/>
    <x v="0"/>
  </r>
  <r>
    <s v="invoices_2026-04.csv"/>
    <s v="INV-202604-0202"/>
    <s v="C037"/>
    <d v="2026-04-22T00:00:00"/>
    <d v="2026-05-07T00:00:00"/>
    <n v="18243.12"/>
    <s v="Tanvir Ahmed"/>
    <n v="18243.12"/>
    <n v="0"/>
    <n v="116"/>
    <x v="0"/>
  </r>
  <r>
    <s v="invoices_2026-04.csv"/>
    <s v="INV-202604-0094"/>
    <s v="C027"/>
    <d v="2026-04-10T00:00:00"/>
    <d v="2026-04-25T00:00:00"/>
    <n v="5000"/>
    <s v="Imran Hossain"/>
    <n v="5000"/>
    <n v="0"/>
    <n v="128"/>
    <x v="0"/>
  </r>
  <r>
    <s v="invoices_2026-04.csv"/>
    <s v="INV-202604-0115"/>
    <s v="C029"/>
    <d v="2026-04-13T00:00:00"/>
    <d v="2026-05-13T00:00:00"/>
    <n v="61892.36"/>
    <s v="Farzana Akter"/>
    <n v="61892.36"/>
    <n v="0"/>
    <n v="110"/>
    <x v="0"/>
  </r>
  <r>
    <s v="invoices_2026-04.csv"/>
    <s v="INV-202604-0095"/>
    <s v="C026"/>
    <d v="2026-04-10T00:00:00"/>
    <d v="2026-05-10T00:00:00"/>
    <n v="268796.59000000003"/>
    <s v="Nusrat Jahan"/>
    <m/>
    <n v="268796.59000000003"/>
    <n v="113"/>
    <x v="1"/>
  </r>
  <r>
    <s v="invoices_2026-04.csv"/>
    <s v="INV-202604-0204"/>
    <s v="C004"/>
    <d v="2026-04-22T00:00:00"/>
    <d v="2026-06-06T00:00:00"/>
    <n v="324887.95"/>
    <s v="Nusrat Jahan"/>
    <n v="324887.95"/>
    <n v="0"/>
    <n v="86"/>
    <x v="0"/>
  </r>
  <r>
    <s v="invoices_2026-04.csv"/>
    <s v="INV-202604-0204"/>
    <s v="C004"/>
    <d v="2026-04-22T00:00:00"/>
    <d v="2026-06-06T00:00:00"/>
    <n v="324887.95"/>
    <s v="Nusrat Jahan"/>
    <n v="324887.95"/>
    <n v="0"/>
    <n v="86"/>
    <x v="0"/>
  </r>
  <r>
    <s v="invoices_2026-04.csv"/>
    <s v="INV-202604-0096"/>
    <s v="C033"/>
    <d v="2026-04-10T00:00:00"/>
    <d v="2026-05-10T00:00:00"/>
    <n v="17644.830000000002"/>
    <s v="Nusrat Jahan"/>
    <n v="17644.830000000002"/>
    <n v="0"/>
    <n v="113"/>
    <x v="0"/>
  </r>
  <r>
    <s v="invoices_2026-04.csv"/>
    <s v="INV-202604-0247"/>
    <s v="C015"/>
    <d v="2026-04-26T00:00:00"/>
    <d v="2026-05-26T00:00:00"/>
    <n v="40307.75"/>
    <s v="Nusrat Jahan"/>
    <n v="40307.75"/>
    <n v="0"/>
    <n v="97"/>
    <x v="0"/>
  </r>
  <r>
    <s v="invoices_2026-04.csv"/>
    <s v="INV-202604-0098"/>
    <s v="C004"/>
    <d v="2026-04-10T00:00:00"/>
    <d v="2026-05-25T00:00:00"/>
    <n v="378331.17"/>
    <s v="Nusrat Jahan"/>
    <n v="378331.17"/>
    <n v="0"/>
    <n v="98"/>
    <x v="0"/>
  </r>
  <r>
    <s v="invoices_2026-04.csv"/>
    <s v="INV-202604-0116"/>
    <s v="C024"/>
    <d v="2026-04-13T00:00:00"/>
    <d v="2026-05-13T00:00:00"/>
    <n v="21000.97"/>
    <s v="Farzana Akter"/>
    <n v="21000.97"/>
    <n v="0"/>
    <n v="110"/>
    <x v="0"/>
  </r>
  <r>
    <s v="invoices_2026-04.csv"/>
    <s v="INV-202604-0208"/>
    <s v="C033"/>
    <d v="2026-04-22T00:00:00"/>
    <d v="2026-05-22T00:00:00"/>
    <n v="128674.48"/>
    <s v="Nusrat Jahan"/>
    <n v="128674.48"/>
    <n v="0"/>
    <n v="101"/>
    <x v="0"/>
  </r>
  <r>
    <s v="invoices_2026-04.csv"/>
    <s v="INV-202604-0300"/>
    <s v="C046"/>
    <d v="2026-04-30T00:00:00"/>
    <d v="2026-05-30T00:00:00"/>
    <n v="83060.350000000006"/>
    <s v="Mahbub Alam"/>
    <n v="83060.350000000006"/>
    <n v="0"/>
    <n v="93"/>
    <x v="0"/>
  </r>
  <r>
    <s v="invoices_2026-04.csv"/>
    <s v="INV-202604-0101"/>
    <s v="C044"/>
    <d v="2026-04-11T00:00:00"/>
    <d v="2026-05-11T00:00:00"/>
    <n v="460727.86"/>
    <s v="Mahbub Alam"/>
    <m/>
    <n v="460727.86"/>
    <n v="112"/>
    <x v="1"/>
  </r>
  <r>
    <s v="invoices_2026-05.csv"/>
    <s v="INV-202605-0002"/>
    <s v="C004"/>
    <d v="2026-05-01T00:00:00"/>
    <d v="2026-06-15T00:00:00"/>
    <n v="1904412.04"/>
    <s v="Nusrat Jahan"/>
    <n v="1904412.04"/>
    <n v="0"/>
    <n v="77"/>
    <x v="0"/>
  </r>
  <r>
    <s v="invoices_2026-04.csv"/>
    <s v="INV-202604-0102"/>
    <s v="C033"/>
    <d v="2026-04-11T00:00:00"/>
    <d v="2026-05-11T00:00:00"/>
    <n v="87034.05"/>
    <s v="Nusrat Jahan"/>
    <n v="87034.05"/>
    <n v="0"/>
    <n v="112"/>
    <x v="0"/>
  </r>
  <r>
    <s v="invoices_2026-05.csv"/>
    <s v="INV-202605-0064"/>
    <s v="C048"/>
    <d v="2026-05-07T00:00:00"/>
    <d v="2026-06-06T00:00:00"/>
    <n v="70480.97"/>
    <s v="Imran Hossain"/>
    <n v="70480.97"/>
    <n v="0"/>
    <n v="86"/>
    <x v="0"/>
  </r>
  <r>
    <s v="invoices_2026-04.csv"/>
    <s v="INV-202604-0120"/>
    <s v="C007"/>
    <d v="2026-04-14T00:00:00"/>
    <d v="2026-05-14T00:00:00"/>
    <n v="116804.72"/>
    <s v="Mahbub Alam"/>
    <n v="116804.72"/>
    <n v="0"/>
    <n v="109"/>
    <x v="0"/>
  </r>
  <r>
    <s v="invoices_2026-04.csv"/>
    <s v="INV-202604-0149"/>
    <s v="C033"/>
    <d v="2026-04-16T00:00:00"/>
    <d v="2026-05-16T00:00:00"/>
    <n v="547398.78"/>
    <s v="Nusrat Jahan"/>
    <n v="547398.78"/>
    <n v="0"/>
    <n v="107"/>
    <x v="0"/>
  </r>
  <r>
    <s v="invoices_2026-04.csv"/>
    <s v="INV-202604-0153"/>
    <s v="C003"/>
    <d v="2026-04-16T00:00:00"/>
    <d v="2026-05-16T00:00:00"/>
    <n v="37120.480000000003"/>
    <s v="Mahbub Alam"/>
    <n v="37120.480000000003"/>
    <n v="0"/>
    <n v="107"/>
    <x v="0"/>
  </r>
  <r>
    <s v="invoices_2026-04.csv"/>
    <s v="INV-202604-0107"/>
    <s v="C007"/>
    <d v="2026-04-12T00:00:00"/>
    <d v="2026-05-12T00:00:00"/>
    <n v="223696.11"/>
    <s v="Mahbub Alam"/>
    <n v="223696.11"/>
    <n v="0"/>
    <n v="111"/>
    <x v="0"/>
  </r>
  <r>
    <s v="invoices_2026-04.csv"/>
    <s v="INV-202604-0194"/>
    <s v="C033"/>
    <d v="2026-04-20T00:00:00"/>
    <d v="2026-05-20T00:00:00"/>
    <n v="117527.87"/>
    <s v="Nusrat Jahan"/>
    <n v="117527.87"/>
    <n v="0"/>
    <n v="103"/>
    <x v="0"/>
  </r>
  <r>
    <s v="invoices_2026-04.csv"/>
    <s v="INV-202604-0292"/>
    <s v="C041"/>
    <d v="2026-04-29T00:00:00"/>
    <d v="2026-05-29T00:00:00"/>
    <n v="51716.74"/>
    <s v="Tanvir Ahmed"/>
    <n v="51716.74"/>
    <n v="0"/>
    <n v="94"/>
    <x v="0"/>
  </r>
  <r>
    <s v="invoices_2026-04.csv"/>
    <s v="INV-202604-0109"/>
    <s v="C020"/>
    <d v="2026-04-12T00:00:00"/>
    <d v="2026-06-11T00:00:00"/>
    <n v="266446.57"/>
    <s v="Nusrat Jahan"/>
    <n v="266446.57"/>
    <n v="0"/>
    <n v="81"/>
    <x v="0"/>
  </r>
  <r>
    <s v="invoices_2026-05.csv"/>
    <s v="INV-202605-0030"/>
    <s v="C049"/>
    <d v="2026-05-04T00:00:00"/>
    <d v="2026-05-19T00:00:00"/>
    <n v="18592.61"/>
    <s v="Farzana Akter"/>
    <n v="18592.61"/>
    <n v="0"/>
    <n v="104"/>
    <x v="0"/>
  </r>
  <r>
    <s v="invoices_2026-04.csv"/>
    <s v="INV-202604-0110"/>
    <s v="C044"/>
    <d v="2026-04-13T00:00:00"/>
    <d v="2026-05-13T00:00:00"/>
    <n v="153410.76"/>
    <s v="Mahbub Alam"/>
    <n v="153410.76"/>
    <n v="0"/>
    <n v="110"/>
    <x v="0"/>
  </r>
  <r>
    <s v="invoices_2026-04.csv"/>
    <s v="INV-202604-0125"/>
    <s v="C007"/>
    <d v="2026-04-14T00:00:00"/>
    <d v="2026-05-14T00:00:00"/>
    <n v="1538533.69"/>
    <s v="Mahbub Alam"/>
    <n v="1198871.19"/>
    <n v="339662.5"/>
    <n v="109"/>
    <x v="1"/>
  </r>
  <r>
    <s v="invoices_2026-04.csv"/>
    <s v="INV-202604-0175"/>
    <s v="C015"/>
    <d v="2026-04-18T00:00:00"/>
    <d v="2026-05-18T00:00:00"/>
    <n v="68103.94"/>
    <s v="Nusrat Jahan"/>
    <n v="68103.94"/>
    <n v="0"/>
    <n v="105"/>
    <x v="0"/>
  </r>
  <r>
    <s v="invoices_2026-04.csv"/>
    <s v="INV-202604-0113"/>
    <s v="C020"/>
    <d v="2026-04-13T00:00:00"/>
    <d v="2026-06-12T00:00:00"/>
    <n v="154234.17000000001"/>
    <s v="Nusrat Jahan"/>
    <n v="154234.16999999998"/>
    <n v="0"/>
    <n v="80"/>
    <x v="0"/>
  </r>
  <r>
    <s v="invoices_2026-04.csv"/>
    <s v="INV-202604-0181"/>
    <s v="C002"/>
    <d v="2026-04-19T00:00:00"/>
    <d v="2026-06-03T00:00:00"/>
    <n v="108153.53"/>
    <s v="Tanvir Ahmed"/>
    <n v="108153.53"/>
    <n v="0"/>
    <n v="89"/>
    <x v="0"/>
  </r>
  <r>
    <s v="invoices_2026-04.csv"/>
    <s v="INV-202604-0266"/>
    <s v="C034"/>
    <d v="2026-04-28T00:00:00"/>
    <d v="2026-05-13T00:00:00"/>
    <n v="10899.84"/>
    <s v="Nusrat Jahan"/>
    <n v="10899.84"/>
    <n v="0"/>
    <n v="110"/>
    <x v="0"/>
  </r>
  <r>
    <s v="invoices_2026-04.csv"/>
    <s v="INV-202604-0288"/>
    <s v="C022"/>
    <d v="2026-04-29T00:00:00"/>
    <d v="2026-05-14T00:00:00"/>
    <n v="11243.13"/>
    <s v="Mahbub Alam"/>
    <n v="11243.13"/>
    <n v="0"/>
    <n v="109"/>
    <x v="0"/>
  </r>
  <r>
    <s v="invoices_2026-04.csv"/>
    <s v="INV-202604-0289"/>
    <s v="C044"/>
    <d v="2026-04-29T00:00:00"/>
    <d v="2026-05-29T00:00:00"/>
    <n v="1337930.3"/>
    <s v="Mahbub Alam"/>
    <n v="1337930.3"/>
    <n v="0"/>
    <n v="94"/>
    <x v="0"/>
  </r>
  <r>
    <s v="invoices_2026-04.csv"/>
    <s v="INV-202604-0298"/>
    <s v="C013"/>
    <d v="2026-04-30T00:00:00"/>
    <d v="2026-06-29T00:00:00"/>
    <n v="646604.36"/>
    <s v="Nusrat Jahan"/>
    <n v="646604.36"/>
    <n v="0"/>
    <n v="63"/>
    <x v="0"/>
  </r>
  <r>
    <s v="invoices_2026-04.csv"/>
    <s v="INV-202604-0118"/>
    <s v="C009"/>
    <d v="2026-04-13T00:00:00"/>
    <d v="2026-05-28T00:00:00"/>
    <n v="153289.35"/>
    <s v="Farzana Akter"/>
    <n v="153289.35"/>
    <n v="0"/>
    <n v="95"/>
    <x v="0"/>
  </r>
  <r>
    <s v="invoices_2026-05.csv"/>
    <s v="INV-202605-0011"/>
    <s v="C039"/>
    <d v="2026-05-02T00:00:00"/>
    <d v="2026-05-17T00:00:00"/>
    <n v="36047.69"/>
    <s v="Mahbub Alam"/>
    <n v="36047.69"/>
    <n v="0"/>
    <n v="106"/>
    <x v="0"/>
  </r>
  <r>
    <s v="invoices_2026-05.csv"/>
    <s v="INV-202605-0058"/>
    <s v="C046"/>
    <d v="2026-05-07T00:00:00"/>
    <d v="2026-06-06T00:00:00"/>
    <n v="88895.679999999993"/>
    <s v="Mahbub Alam"/>
    <n v="88895.679999999993"/>
    <n v="0"/>
    <n v="86"/>
    <x v="0"/>
  </r>
  <r>
    <s v="invoices_2026-04.csv"/>
    <s v="INV-202604-0151"/>
    <s v="C004"/>
    <d v="2026-04-16T00:00:00"/>
    <d v="2026-05-31T00:00:00"/>
    <n v="329140.92"/>
    <s v="Nusrat Jahan"/>
    <n v="329140.92"/>
    <n v="0"/>
    <n v="92"/>
    <x v="0"/>
  </r>
  <r>
    <s v="invoices_2026-04.csv"/>
    <s v="INV-202604-0121"/>
    <s v="C038"/>
    <d v="2026-04-14T00:00:00"/>
    <d v="2026-06-13T00:00:00"/>
    <n v="115327.66"/>
    <s v="Imran Hossain"/>
    <n v="92003.41"/>
    <n v="23324.25"/>
    <n v="79"/>
    <x v="2"/>
  </r>
  <r>
    <s v="invoices_2026-04.csv"/>
    <s v="INV-202604-0187"/>
    <s v="C007"/>
    <d v="2026-04-20T00:00:00"/>
    <d v="2026-05-20T00:00:00"/>
    <n v="269606.73"/>
    <s v="Mahbub Alam"/>
    <n v="269606.73"/>
    <n v="0"/>
    <n v="103"/>
    <x v="0"/>
  </r>
  <r>
    <s v="invoices_2026-04.csv"/>
    <s v="INV-202604-0218"/>
    <s v="C021"/>
    <d v="2026-04-23T00:00:00"/>
    <d v="2026-05-23T00:00:00"/>
    <n v="368608.07"/>
    <s v="Mahbub Alam"/>
    <n v="368608.07"/>
    <n v="0"/>
    <n v="100"/>
    <x v="0"/>
  </r>
  <r>
    <s v="invoices_2026-04.csv"/>
    <s v="INV-202604-0270"/>
    <s v="C010"/>
    <d v="2026-04-28T00:00:00"/>
    <d v="2026-05-13T00:00:00"/>
    <n v="9963.56"/>
    <s v="Imran Hossain"/>
    <n v="9963.56"/>
    <n v="0"/>
    <n v="110"/>
    <x v="0"/>
  </r>
  <r>
    <s v="invoices_2026-04.csv"/>
    <s v="INV-202604-0124"/>
    <s v="C032"/>
    <d v="2026-04-14T00:00:00"/>
    <d v="2026-05-29T00:00:00"/>
    <n v="102690.68"/>
    <s v="Shirin Sultana"/>
    <n v="102690.68"/>
    <n v="0"/>
    <n v="94"/>
    <x v="0"/>
  </r>
  <r>
    <s v="invoices_2026-04.csv"/>
    <s v="INV-202604-0132"/>
    <s v="C030"/>
    <d v="2026-04-15T00:00:00"/>
    <d v="2026-05-15T00:00:00"/>
    <n v="22684.92"/>
    <s v="Tanvir Ahmed"/>
    <n v="22684.92"/>
    <n v="0"/>
    <n v="108"/>
    <x v="0"/>
  </r>
  <r>
    <s v="invoices_2026-04.csv"/>
    <s v="INV-202604-0126"/>
    <s v="C005"/>
    <d v="2026-04-14T00:00:00"/>
    <d v="2026-05-14T00:00:00"/>
    <n v="161417.26"/>
    <s v="Mahbub Alam"/>
    <n v="161417.26"/>
    <n v="0"/>
    <n v="109"/>
    <x v="0"/>
  </r>
  <r>
    <s v="invoices_2026-04.csv"/>
    <s v="INV-202604-0269"/>
    <s v="C050"/>
    <d v="2026-04-28T00:00:00"/>
    <d v="2026-05-13T00:00:00"/>
    <n v="12806.86"/>
    <s v="Nusrat Jahan"/>
    <n v="12806.86"/>
    <n v="0"/>
    <n v="110"/>
    <x v="0"/>
  </r>
  <r>
    <s v="invoices_2026-04.csv"/>
    <s v="INV-202604-0127"/>
    <s v="C012"/>
    <d v="2026-04-14T00:00:00"/>
    <d v="2026-05-14T00:00:00"/>
    <n v="206904.17"/>
    <s v="Shirin Sultana"/>
    <n v="206904.17"/>
    <n v="0"/>
    <n v="109"/>
    <x v="0"/>
  </r>
  <r>
    <s v="invoices_2026-05.csv"/>
    <s v="INV-202605-0044"/>
    <s v="C050"/>
    <d v="2026-05-05T00:00:00"/>
    <d v="2026-05-20T00:00:00"/>
    <n v="40718.44"/>
    <s v="Nusrat Jahan"/>
    <n v="40718.44"/>
    <n v="0"/>
    <n v="103"/>
    <x v="0"/>
  </r>
  <r>
    <s v="invoices_2026-04.csv"/>
    <s v="INV-202604-0130"/>
    <s v="C035"/>
    <d v="2026-04-15T00:00:00"/>
    <d v="2026-05-30T00:00:00"/>
    <n v="328379.65000000002"/>
    <s v="Farzana Akter"/>
    <n v="248493.06"/>
    <n v="79886.59"/>
    <n v="93"/>
    <x v="1"/>
  </r>
  <r>
    <s v="invoices_2026-04.csv"/>
    <s v="INV-202604-0140"/>
    <s v="C026"/>
    <d v="2026-04-16T00:00:00"/>
    <d v="2026-05-16T00:00:00"/>
    <n v="315175.57"/>
    <s v="Nusrat Jahan"/>
    <n v="315175.57"/>
    <n v="0"/>
    <n v="107"/>
    <x v="0"/>
  </r>
  <r>
    <s v="invoices_2026-04.csv"/>
    <s v="INV-202604-0131"/>
    <s v="C008"/>
    <d v="2026-04-15T00:00:00"/>
    <d v="2026-05-30T00:00:00"/>
    <n v="1512499.6"/>
    <s v="Shirin Sultana"/>
    <n v="1128611.0499999998"/>
    <n v="383888.55"/>
    <n v="93"/>
    <x v="1"/>
  </r>
  <r>
    <s v="invoices_2026-04.csv"/>
    <s v="INV-202604-0192"/>
    <s v="C009"/>
    <d v="2026-04-20T00:00:00"/>
    <d v="2026-06-04T00:00:00"/>
    <n v="186391.37"/>
    <s v="Farzana Akter"/>
    <n v="186391.37"/>
    <n v="0"/>
    <n v="88"/>
    <x v="0"/>
  </r>
  <r>
    <s v="invoices_2026-04.csv"/>
    <s v="INV-202604-0299"/>
    <s v="C049"/>
    <d v="2026-04-30T00:00:00"/>
    <d v="2026-05-15T00:00:00"/>
    <n v="59932.95"/>
    <s v="Farzana Akter"/>
    <n v="59932.95"/>
    <n v="0"/>
    <n v="108"/>
    <x v="0"/>
  </r>
  <r>
    <s v="invoices_2026-05.csv"/>
    <s v="INV-202605-0016"/>
    <s v="C018"/>
    <d v="2026-05-03T00:00:00"/>
    <d v="2026-06-02T00:00:00"/>
    <n v="67544.47"/>
    <s v="Shirin Sultana"/>
    <n v="67544.47"/>
    <n v="0"/>
    <n v="90"/>
    <x v="0"/>
  </r>
  <r>
    <s v="invoices_2026-04.csv"/>
    <s v="INV-202604-0134"/>
    <s v="C014"/>
    <d v="2026-04-15T00:00:00"/>
    <d v="2026-06-14T00:00:00"/>
    <n v="75905.84"/>
    <s v="Nusrat Jahan"/>
    <n v="75905.84"/>
    <n v="0"/>
    <n v="78"/>
    <x v="0"/>
  </r>
  <r>
    <s v="invoices_2026-05.csv"/>
    <s v="INV-202605-0039"/>
    <s v="C049"/>
    <d v="2026-05-04T00:00:00"/>
    <d v="2026-05-19T00:00:00"/>
    <n v="10527.95"/>
    <s v="Farzana Akter"/>
    <n v="10527.95"/>
    <n v="0"/>
    <n v="104"/>
    <x v="0"/>
  </r>
  <r>
    <s v="invoices_2026-04.csv"/>
    <s v="INV-202604-0163"/>
    <s v="C008"/>
    <d v="2026-04-18T00:00:00"/>
    <d v="2026-06-02T00:00:00"/>
    <n v="451022.4"/>
    <s v="Shirin Sultana"/>
    <n v="451022.4"/>
    <n v="0"/>
    <n v="90"/>
    <x v="0"/>
  </r>
  <r>
    <s v="invoices_2026-04.csv"/>
    <s v="INV-202604-0136"/>
    <s v="C015"/>
    <d v="2026-04-15T00:00:00"/>
    <d v="2026-05-15T00:00:00"/>
    <n v="12641.48"/>
    <s v="Nusrat Jahan"/>
    <n v="3412.8100000000004"/>
    <n v="9228.67"/>
    <n v="108"/>
    <x v="1"/>
  </r>
  <r>
    <s v="invoices_2026-05.csv"/>
    <s v="INV-202605-0015"/>
    <s v="C046"/>
    <d v="2026-05-02T00:00:00"/>
    <d v="2026-06-01T00:00:00"/>
    <n v="169034.79"/>
    <s v="Mahbub Alam"/>
    <n v="169034.79"/>
    <n v="0"/>
    <n v="91"/>
    <x v="0"/>
  </r>
  <r>
    <s v="invoices_2026-04.csv"/>
    <s v="INV-202604-0137"/>
    <s v="C007"/>
    <d v="2026-04-15T00:00:00"/>
    <d v="2026-05-15T00:00:00"/>
    <n v="585486.89"/>
    <s v="Mahbub Alam"/>
    <n v="585486.89"/>
    <n v="0"/>
    <n v="108"/>
    <x v="0"/>
  </r>
  <r>
    <s v="invoices_2026-05.csv"/>
    <s v="INV-202605-0047"/>
    <s v="C046"/>
    <d v="2026-05-06T00:00:00"/>
    <d v="2026-06-05T00:00:00"/>
    <n v="243325.57"/>
    <s v="Mahbub Alam"/>
    <n v="243325.57"/>
    <n v="0"/>
    <n v="87"/>
    <x v="0"/>
  </r>
  <r>
    <s v="invoices_2026-04.csv"/>
    <s v="INV-202604-0139"/>
    <s v="C045"/>
    <d v="2026-04-16T00:00:00"/>
    <d v="2026-05-01T00:00:00"/>
    <n v="32520.14"/>
    <s v="Mahbub Alam"/>
    <n v="32520.14"/>
    <n v="0"/>
    <n v="122"/>
    <x v="0"/>
  </r>
  <r>
    <s v="invoices_2026-04.csv"/>
    <s v="INV-202604-0147"/>
    <s v="C025"/>
    <d v="2026-04-16T00:00:00"/>
    <d v="2026-05-31T00:00:00"/>
    <n v="2000000"/>
    <s v="Imran Hossain"/>
    <n v="2503202.56"/>
    <n v="-503202.56"/>
    <n v="92"/>
    <x v="0"/>
  </r>
  <r>
    <s v="invoices_2026-04.csv"/>
    <s v="INV-202604-0141"/>
    <s v="C032"/>
    <d v="2026-04-16T00:00:00"/>
    <d v="2026-05-31T00:00:00"/>
    <n v="131799.94"/>
    <s v="Shirin Sultana"/>
    <n v="131799.94"/>
    <n v="0"/>
    <n v="92"/>
    <x v="0"/>
  </r>
  <r>
    <s v="invoices_2026-04.csv"/>
    <s v="INV-202604-0164"/>
    <s v="C018"/>
    <d v="2026-04-18T00:00:00"/>
    <d v="2026-05-18T00:00:00"/>
    <n v="75067.69"/>
    <s v="Shirin Sultana"/>
    <n v="75067.69"/>
    <n v="0"/>
    <n v="105"/>
    <x v="0"/>
  </r>
  <r>
    <s v="invoices_2026-04.csv"/>
    <s v="INV-202604-0142"/>
    <s v="C051"/>
    <d v="2026-04-16T00:00:00"/>
    <d v="2026-05-16T00:00:00"/>
    <n v="112596.92"/>
    <s v="Nusrat Jahan"/>
    <n v="112596.92"/>
    <n v="0"/>
    <n v="107"/>
    <x v="0"/>
  </r>
  <r>
    <s v="invoices_2026-04.csv"/>
    <s v="INV-202604-0216"/>
    <s v="C030"/>
    <d v="2026-04-23T00:00:00"/>
    <d v="2026-05-23T00:00:00"/>
    <n v="54859.8"/>
    <s v="Tanvir Ahmed"/>
    <n v="54859.8"/>
    <n v="0"/>
    <n v="100"/>
    <x v="0"/>
  </r>
  <r>
    <s v="invoices_2026-04.csv"/>
    <s v="INV-202604-0239"/>
    <s v="C035"/>
    <d v="2026-04-25T00:00:00"/>
    <d v="2026-06-09T00:00:00"/>
    <n v="269015"/>
    <s v="Farzana Akter"/>
    <n v="269015"/>
    <n v="0"/>
    <n v="83"/>
    <x v="0"/>
  </r>
  <r>
    <s v="invoices_2026-04.csv"/>
    <s v="INV-202604-0144"/>
    <s v="C032"/>
    <d v="2026-04-16T00:00:00"/>
    <d v="2026-05-31T00:00:00"/>
    <n v="159642.54"/>
    <s v="Shirin Sultana"/>
    <n v="159642.54"/>
    <n v="0"/>
    <n v="92"/>
    <x v="0"/>
  </r>
  <r>
    <s v="invoices_2026-05.csv"/>
    <s v="INV-202605-0007"/>
    <s v="C010"/>
    <d v="2026-05-02T00:00:00"/>
    <d v="2026-05-17T00:00:00"/>
    <n v="156284.29"/>
    <s v="Imran Hossain"/>
    <n v="156284.29"/>
    <n v="0"/>
    <n v="106"/>
    <x v="0"/>
  </r>
  <r>
    <s v="invoices_2026-04.csv"/>
    <s v="INV-202604-0145"/>
    <s v="C012"/>
    <d v="2026-04-16T00:00:00"/>
    <d v="2026-05-16T00:00:00"/>
    <n v="173658.23"/>
    <s v="Shirin Sultana"/>
    <n v="173658.23"/>
    <n v="0"/>
    <n v="107"/>
    <x v="0"/>
  </r>
  <r>
    <s v="invoices_2026-05.csv"/>
    <s v="INV-202605-0008"/>
    <s v="C012"/>
    <d v="2026-05-02T00:00:00"/>
    <d v="2026-06-01T00:00:00"/>
    <n v="222711.57"/>
    <s v="Shirin Sultana"/>
    <n v="222711.57"/>
    <n v="0"/>
    <n v="91"/>
    <x v="0"/>
  </r>
  <r>
    <s v="invoices_2026-04.csv"/>
    <s v="INV-202604-0146"/>
    <s v="C016"/>
    <d v="2026-04-16T00:00:00"/>
    <d v="2026-05-16T00:00:00"/>
    <n v="122536.7"/>
    <s v="Shirin Sultana"/>
    <m/>
    <n v="122536.7"/>
    <n v="107"/>
    <x v="1"/>
  </r>
  <r>
    <s v="invoices_2026-04.csv"/>
    <s v="INV-202604-0184"/>
    <s v="C026"/>
    <d v="2026-04-19T00:00:00"/>
    <d v="2026-05-19T00:00:00"/>
    <n v="418677.52"/>
    <s v="Nusrat Jahan"/>
    <n v="418677.52"/>
    <n v="0"/>
    <n v="104"/>
    <x v="0"/>
  </r>
  <r>
    <s v="invoices_2026-04.csv"/>
    <s v="INV-202604-0198"/>
    <s v="C007"/>
    <d v="2026-04-21T00:00:00"/>
    <d v="2026-05-21T00:00:00"/>
    <n v="301409.53999999998"/>
    <s v="Mahbub Alam"/>
    <n v="301409.53999999998"/>
    <n v="0"/>
    <n v="102"/>
    <x v="0"/>
  </r>
  <r>
    <s v="invoices_2026-04.csv"/>
    <s v="INV-202604-0150"/>
    <s v="C020"/>
    <d v="2026-04-16T00:00:00"/>
    <d v="2026-06-15T00:00:00"/>
    <n v="176479.95"/>
    <s v="Nusrat Jahan"/>
    <n v="176479.95"/>
    <n v="0"/>
    <n v="77"/>
    <x v="0"/>
  </r>
  <r>
    <s v="invoices_2026-04.csv"/>
    <s v="INV-202604-0211"/>
    <s v="C031"/>
    <d v="2026-04-23T00:00:00"/>
    <d v="2026-05-23T00:00:00"/>
    <n v="5000"/>
    <s v="Tanvir Ahmed"/>
    <n v="5000"/>
    <n v="0"/>
    <n v="100"/>
    <x v="0"/>
  </r>
  <r>
    <s v="invoices_2026-04.csv"/>
    <s v="INV-202604-0215"/>
    <s v="C007"/>
    <d v="2026-04-23T00:00:00"/>
    <d v="2026-05-23T00:00:00"/>
    <n v="731992.64"/>
    <s v="Mahbub Alam"/>
    <n v="731992.64"/>
    <n v="0"/>
    <n v="100"/>
    <x v="0"/>
  </r>
  <r>
    <s v="invoices_2026-04.csv"/>
    <s v="INV-202604-0152"/>
    <s v="C012"/>
    <d v="2026-04-16T00:00:00"/>
    <d v="2026-05-16T00:00:00"/>
    <n v="211158.1"/>
    <s v="Shirin Sultana"/>
    <n v="211158.1"/>
    <n v="0"/>
    <n v="107"/>
    <x v="0"/>
  </r>
  <r>
    <s v="invoices_2026-04.csv"/>
    <s v="INV-202604-0221"/>
    <s v="C033"/>
    <d v="2026-04-23T00:00:00"/>
    <d v="2026-05-23T00:00:00"/>
    <n v="349382.43"/>
    <s v="Nusrat Jahan"/>
    <n v="349382.43"/>
    <n v="0"/>
    <n v="100"/>
    <x v="0"/>
  </r>
  <r>
    <s v="invoices_2026-04.csv"/>
    <s v="INV-202604-0227"/>
    <s v="C012"/>
    <d v="2026-04-24T00:00:00"/>
    <d v="2026-05-24T00:00:00"/>
    <n v="567334.06999999995"/>
    <s v="Shirin Sultana"/>
    <n v="567334.06999999995"/>
    <n v="0"/>
    <n v="99"/>
    <x v="0"/>
  </r>
  <r>
    <s v="invoices_2026-05.csv"/>
    <s v="INV-202605-0080"/>
    <s v="C033"/>
    <d v="2026-05-10T00:00:00"/>
    <d v="2026-06-09T00:00:00"/>
    <n v="43736.06"/>
    <s v="Nusrat Jahan"/>
    <n v="14162.130000000001"/>
    <n v="29573.93"/>
    <n v="83"/>
    <x v="2"/>
  </r>
  <r>
    <s v="invoices_2026-04.csv"/>
    <s v="INV-202604-0155"/>
    <s v="C020"/>
    <d v="2026-04-17T00:00:00"/>
    <d v="2026-06-16T00:00:00"/>
    <n v="94985.66"/>
    <s v="Nusrat Jahan"/>
    <n v="43441.61"/>
    <n v="51544.05"/>
    <n v="76"/>
    <x v="2"/>
  </r>
  <r>
    <s v="invoices_2026-04.csv"/>
    <s v="INV-202604-0156"/>
    <s v="C046"/>
    <d v="2026-04-17T00:00:00"/>
    <d v="2026-05-17T00:00:00"/>
    <n v="37093.370000000003"/>
    <s v="Mahbub Alam"/>
    <n v="37093.370000000003"/>
    <n v="0"/>
    <n v="106"/>
    <x v="0"/>
  </r>
  <r>
    <s v="invoices_2026-04.csv"/>
    <s v="INV-202604-0157"/>
    <s v="C018"/>
    <d v="2026-04-17T00:00:00"/>
    <d v="2026-05-17T00:00:00"/>
    <n v="32304.240000000002"/>
    <s v="Shirin Sultana"/>
    <n v="32304.240000000002"/>
    <n v="0"/>
    <n v="106"/>
    <x v="0"/>
  </r>
  <r>
    <s v="invoices_2026-04.csv"/>
    <s v="INV-202604-0158"/>
    <s v="C026"/>
    <d v="2026-04-17T00:00:00"/>
    <d v="2026-05-17T00:00:00"/>
    <n v="706804.35"/>
    <s v="Nusrat Jahan"/>
    <n v="706804.35"/>
    <n v="0"/>
    <n v="106"/>
    <x v="0"/>
  </r>
  <r>
    <s v="invoices_2026-04.csv"/>
    <s v="INV-202604-0159"/>
    <s v="C041"/>
    <d v="2026-04-17T00:00:00"/>
    <d v="2026-05-17T00:00:00"/>
    <n v="26909.599999999999"/>
    <s v="Tanvir Ahmed"/>
    <n v="26909.599999999999"/>
    <n v="0"/>
    <n v="106"/>
    <x v="0"/>
  </r>
  <r>
    <s v="invoices_2026-04.csv"/>
    <s v="INV-202604-0160"/>
    <s v="C007"/>
    <d v="2026-04-17T00:00:00"/>
    <d v="2026-05-17T00:00:00"/>
    <n v="215699.62"/>
    <s v="Mahbub Alam"/>
    <n v="215699.62"/>
    <n v="0"/>
    <n v="106"/>
    <x v="0"/>
  </r>
  <r>
    <s v="invoices_2026-04.csv"/>
    <s v="INV-202604-0237"/>
    <s v="C014"/>
    <d v="2026-04-25T00:00:00"/>
    <d v="2026-06-24T00:00:00"/>
    <n v="775336.61"/>
    <s v="Nusrat Jahan"/>
    <n v="775336.61"/>
    <n v="0"/>
    <n v="68"/>
    <x v="0"/>
  </r>
  <r>
    <s v="invoices_2026-04.csv"/>
    <s v="INV-202604-0161"/>
    <s v="C040"/>
    <d v="2026-04-18T00:00:00"/>
    <d v="2026-06-17T00:00:00"/>
    <n v="141135.82999999999"/>
    <s v="Nusrat Jahan"/>
    <n v="141135.82999999999"/>
    <n v="0"/>
    <n v="75"/>
    <x v="0"/>
  </r>
  <r>
    <s v="invoices_2026-05.csv"/>
    <s v="INV-202605-0041"/>
    <s v="C039"/>
    <d v="2026-05-05T00:00:00"/>
    <d v="2026-05-20T00:00:00"/>
    <n v="65444.7"/>
    <s v="Mahbub Alam"/>
    <n v="65444.7"/>
    <n v="0"/>
    <n v="103"/>
    <x v="0"/>
  </r>
  <r>
    <s v="invoices_2026-04.csv"/>
    <s v="INV-202604-0162"/>
    <s v="C032"/>
    <d v="2026-04-18T00:00:00"/>
    <d v="2026-06-02T00:00:00"/>
    <n v="808642.48"/>
    <s v="Shirin Sultana"/>
    <n v="808642.48"/>
    <n v="0"/>
    <n v="90"/>
    <x v="0"/>
  </r>
  <r>
    <s v="invoices_2026-04.csv"/>
    <s v="INV-202604-0188"/>
    <s v="C046"/>
    <d v="2026-04-20T00:00:00"/>
    <d v="2026-05-20T00:00:00"/>
    <n v="195600.67"/>
    <s v="Mahbub Alam"/>
    <n v="195600.67"/>
    <n v="0"/>
    <n v="103"/>
    <x v="0"/>
  </r>
  <r>
    <s v="invoices_2026-04.csv"/>
    <s v="INV-202604-0214"/>
    <s v="C003"/>
    <d v="2026-04-23T00:00:00"/>
    <d v="2026-05-23T00:00:00"/>
    <n v="35486.400000000001"/>
    <s v="Mahbub Alam"/>
    <n v="35486.400000000001"/>
    <n v="0"/>
    <n v="100"/>
    <x v="0"/>
  </r>
  <r>
    <s v="invoices_2026-04.csv"/>
    <s v="INV-202604-0242"/>
    <s v="C043"/>
    <d v="2026-04-25T00:00:00"/>
    <d v="2026-05-25T00:00:00"/>
    <n v="31321.72"/>
    <s v="Shirin Sultana"/>
    <n v="31321.72"/>
    <n v="0"/>
    <n v="98"/>
    <x v="0"/>
  </r>
  <r>
    <s v="invoices_2026-04.csv"/>
    <s v="INV-202604-0267"/>
    <s v="C046"/>
    <d v="2026-04-28T00:00:00"/>
    <d v="2026-05-28T00:00:00"/>
    <n v="58057.62"/>
    <s v="Mahbub Alam"/>
    <n v="58057.62"/>
    <n v="0"/>
    <n v="95"/>
    <x v="0"/>
  </r>
  <r>
    <s v="invoices_2026-04.csv"/>
    <s v="INV-202604-0287"/>
    <s v="C035"/>
    <d v="2026-04-29T00:00:00"/>
    <d v="2026-06-13T00:00:00"/>
    <n v="44829.96"/>
    <s v="Farzana Akter"/>
    <n v="44829.96"/>
    <n v="0"/>
    <n v="79"/>
    <x v="0"/>
  </r>
  <r>
    <s v="invoices_2026-05.csv"/>
    <s v="INV-202605-0017"/>
    <s v="C026"/>
    <d v="2026-05-03T00:00:00"/>
    <d v="2026-06-02T00:00:00"/>
    <n v="176655.86"/>
    <s v="Nusrat Jahan"/>
    <n v="176655.86"/>
    <n v="0"/>
    <n v="90"/>
    <x v="0"/>
  </r>
  <r>
    <s v="invoices_2026-05.csv"/>
    <s v="INV-202605-0026"/>
    <s v="C017"/>
    <d v="2026-05-04T00:00:00"/>
    <d v="2026-05-19T00:00:00"/>
    <n v="32084.880000000001"/>
    <s v="Tanvir Ahmed"/>
    <n v="32084.880000000001"/>
    <n v="0"/>
    <n v="104"/>
    <x v="0"/>
  </r>
  <r>
    <s v="invoices_2026-04.csv"/>
    <s v="INV-202604-0170"/>
    <s v="C013"/>
    <d v="2026-04-18T00:00:00"/>
    <d v="2026-06-17T00:00:00"/>
    <n v="1111833.3600000001"/>
    <s v="Nusrat Jahan"/>
    <n v="1111833.3600000001"/>
    <n v="0"/>
    <n v="75"/>
    <x v="0"/>
  </r>
  <r>
    <s v="invoices_2026-05.csv"/>
    <s v="INV-202605-0071"/>
    <s v="C033"/>
    <d v="2026-05-08T00:00:00"/>
    <d v="2026-06-07T00:00:00"/>
    <n v="864598.34"/>
    <s v="Nusrat Jahan"/>
    <n v="717485.32000000007"/>
    <n v="147113.01999999999"/>
    <n v="85"/>
    <x v="2"/>
  </r>
  <r>
    <s v="invoices_2026-04.csv"/>
    <s v="INV-202604-0171"/>
    <s v="C016"/>
    <d v="2026-04-18T00:00:00"/>
    <d v="2026-05-18T00:00:00"/>
    <n v="62723.88"/>
    <s v="Shirin Sultana"/>
    <n v="62723.88"/>
    <n v="0"/>
    <n v="105"/>
    <x v="0"/>
  </r>
  <r>
    <s v="invoices_2026-05.csv"/>
    <s v="INV-202605-0074"/>
    <s v="C017"/>
    <d v="2026-05-09T00:00:00"/>
    <d v="2026-05-24T00:00:00"/>
    <n v="13608.98"/>
    <s v="Tanvir Ahmed"/>
    <n v="13608.98"/>
    <n v="0"/>
    <n v="99"/>
    <x v="0"/>
  </r>
  <r>
    <s v="invoices_2026-04.csv"/>
    <s v="INV-202604-0172"/>
    <s v="C007"/>
    <d v="2026-04-18T00:00:00"/>
    <d v="2026-05-18T00:00:00"/>
    <n v="670887.15"/>
    <s v="Mahbub Alam"/>
    <n v="670887.15"/>
    <n v="0"/>
    <n v="105"/>
    <x v="0"/>
  </r>
  <r>
    <s v="invoices_2026-05.csv"/>
    <s v="INV-202605-0094"/>
    <s v="C048"/>
    <d v="2026-05-11T00:00:00"/>
    <d v="2026-06-10T00:00:00"/>
    <n v="29699.21"/>
    <s v="Imran Hossain"/>
    <n v="29699.21"/>
    <n v="0"/>
    <n v="82"/>
    <x v="0"/>
  </r>
  <r>
    <s v="invoices_2026-04.csv"/>
    <s v="INV-202604-0173"/>
    <s v="C014"/>
    <d v="2026-04-18T00:00:00"/>
    <d v="2026-06-17T00:00:00"/>
    <n v="229366.23"/>
    <s v="Nusrat Jahan"/>
    <n v="229366.23"/>
    <n v="0"/>
    <n v="75"/>
    <x v="0"/>
  </r>
  <r>
    <s v="invoices_2026-04.csv"/>
    <s v="INV-202604-0174"/>
    <s v="C048"/>
    <d v="2026-04-18T00:00:00"/>
    <d v="2026-05-18T00:00:00"/>
    <n v="12340.39"/>
    <s v="Imran Hossain"/>
    <n v="12340.39"/>
    <n v="0"/>
    <n v="105"/>
    <x v="0"/>
  </r>
  <r>
    <s v="invoices_2026-04.csv"/>
    <s v="INV-202604-0278"/>
    <s v="C028"/>
    <d v="2026-04-28T00:00:00"/>
    <d v="2026-06-27T00:00:00"/>
    <n v="2000000"/>
    <s v="Shirin Sultana"/>
    <n v="2000000"/>
    <n v="0"/>
    <n v="65"/>
    <x v="0"/>
  </r>
  <r>
    <s v="invoices_2026-04.csv"/>
    <s v="INV-202604-0279"/>
    <s v="C047"/>
    <d v="2026-04-28T00:00:00"/>
    <d v="2026-05-28T00:00:00"/>
    <n v="185727.02"/>
    <s v="Nusrat Jahan"/>
    <n v="185727.02"/>
    <n v="0"/>
    <n v="95"/>
    <x v="0"/>
  </r>
  <r>
    <s v="invoices_2026-05.csv"/>
    <s v="INV-202605-0086"/>
    <s v="C046"/>
    <d v="2026-05-10T00:00:00"/>
    <d v="2026-06-09T00:00:00"/>
    <n v="25076.720000000001"/>
    <s v="Mahbub Alam"/>
    <n v="25076.720000000001"/>
    <n v="0"/>
    <n v="83"/>
    <x v="0"/>
  </r>
  <r>
    <s v="invoices_2026-04.csv"/>
    <s v="INV-202604-0177"/>
    <s v="C030"/>
    <d v="2026-04-19T00:00:00"/>
    <d v="2026-05-19T00:00:00"/>
    <n v="16452.52"/>
    <s v="Tanvir Ahmed"/>
    <n v="16452.52"/>
    <n v="0"/>
    <n v="104"/>
    <x v="0"/>
  </r>
  <r>
    <s v="invoices_2026-04.csv"/>
    <s v="INV-202604-0179"/>
    <s v="C035"/>
    <d v="2026-04-19T00:00:00"/>
    <d v="2026-06-03T00:00:00"/>
    <n v="844192.38"/>
    <s v="Farzana Akter"/>
    <m/>
    <n v="844192.38"/>
    <n v="89"/>
    <x v="2"/>
  </r>
  <r>
    <s v="invoices_2026-05.csv"/>
    <s v="INV-202605-0004"/>
    <s v="C007"/>
    <d v="2026-05-01T00:00:00"/>
    <d v="2026-05-31T00:00:00"/>
    <n v="789606.96"/>
    <s v="Mahbub Alam"/>
    <n v="789606.96"/>
    <n v="0"/>
    <n v="92"/>
    <x v="0"/>
  </r>
  <r>
    <s v="invoices_2026-04.csv"/>
    <s v="INV-202604-0182"/>
    <s v="C005"/>
    <d v="2026-04-19T00:00:00"/>
    <d v="2026-05-19T00:00:00"/>
    <n v="46852.58"/>
    <s v="Mahbub Alam"/>
    <n v="46852.58"/>
    <n v="0"/>
    <n v="104"/>
    <x v="0"/>
  </r>
  <r>
    <s v="invoices_2026-05.csv"/>
    <s v="INV-202605-0038"/>
    <s v="C003"/>
    <d v="2026-05-04T00:00:00"/>
    <d v="2026-06-03T00:00:00"/>
    <n v="63417.5"/>
    <s v="Mahbub Alam"/>
    <n v="63417.5"/>
    <n v="0"/>
    <n v="89"/>
    <x v="0"/>
  </r>
  <r>
    <s v="invoices_2026-05.csv"/>
    <s v="INV-202605-0045"/>
    <s v="C017"/>
    <d v="2026-05-05T00:00:00"/>
    <d v="2026-05-20T00:00:00"/>
    <n v="34078.58"/>
    <s v="Tanvir Ahmed"/>
    <n v="34078.58"/>
    <n v="0"/>
    <n v="103"/>
    <x v="0"/>
  </r>
  <r>
    <s v="invoices_2026-04.csv"/>
    <s v="INV-202604-0195"/>
    <s v="C044"/>
    <d v="2026-04-21T00:00:00"/>
    <d v="2026-05-21T00:00:00"/>
    <n v="293983.57"/>
    <s v="Mahbub Alam"/>
    <n v="293983.57"/>
    <n v="0"/>
    <n v="102"/>
    <x v="0"/>
  </r>
  <r>
    <s v="invoices_2026-04.csv"/>
    <s v="INV-202604-0186"/>
    <s v="C014"/>
    <d v="2026-04-20T00:00:00"/>
    <d v="2026-06-19T00:00:00"/>
    <n v="411018.77"/>
    <s v="Nusrat Jahan"/>
    <n v="411018.77"/>
    <n v="0"/>
    <n v="73"/>
    <x v="0"/>
  </r>
  <r>
    <s v="invoices_2026-05.csv"/>
    <s v="INV-202605-0048"/>
    <s v="C031"/>
    <d v="2026-05-06T00:00:00"/>
    <d v="2026-06-05T00:00:00"/>
    <n v="55043.34"/>
    <s v="Tanvir Ahmed"/>
    <n v="55043.34"/>
    <n v="0"/>
    <n v="87"/>
    <x v="0"/>
  </r>
  <r>
    <s v="invoices_2026-05.csv"/>
    <s v="INV-202605-0053"/>
    <s v="C024"/>
    <d v="2026-05-06T00:00:00"/>
    <d v="2026-06-05T00:00:00"/>
    <n v="9860.6"/>
    <s v="Farzana Akter"/>
    <n v="9860.6"/>
    <n v="0"/>
    <n v="87"/>
    <x v="0"/>
  </r>
  <r>
    <s v="invoices_2026-05.csv"/>
    <s v="INV-202605-0102"/>
    <s v="C050"/>
    <d v="2026-05-12T00:00:00"/>
    <d v="2026-05-27T00:00:00"/>
    <n v="27299.39"/>
    <s v="Nusrat Jahan"/>
    <n v="27299.39"/>
    <n v="0"/>
    <n v="96"/>
    <x v="0"/>
  </r>
  <r>
    <s v="invoices_2026-04.csv"/>
    <s v="INV-202604-0189"/>
    <s v="C035"/>
    <d v="2026-04-20T00:00:00"/>
    <d v="2026-06-04T00:00:00"/>
    <n v="148558"/>
    <s v="Farzana Akter"/>
    <n v="148558"/>
    <n v="0"/>
    <n v="88"/>
    <x v="0"/>
  </r>
  <r>
    <s v="invoices_2026-05.csv"/>
    <s v="INV-202605-0169"/>
    <s v="C007"/>
    <d v="2026-05-18T00:00:00"/>
    <d v="2026-06-17T00:00:00"/>
    <n v="347218.48"/>
    <s v="Mahbub Alam"/>
    <n v="347218.48"/>
    <n v="0"/>
    <n v="75"/>
    <x v="0"/>
  </r>
  <r>
    <s v="invoices_2026-04.csv"/>
    <s v="INV-202604-0190"/>
    <s v="C024"/>
    <d v="2026-04-20T00:00:00"/>
    <d v="2026-05-20T00:00:00"/>
    <n v="53685.85"/>
    <s v="Farzana Akter"/>
    <n v="53685.85"/>
    <n v="0"/>
    <n v="103"/>
    <x v="0"/>
  </r>
  <r>
    <s v="invoices_2026-05.csv"/>
    <s v="INV-202605-0006"/>
    <s v="C030"/>
    <d v="2026-05-01T00:00:00"/>
    <d v="2026-05-31T00:00:00"/>
    <n v="43023.98"/>
    <s v="Tanvir Ahmed"/>
    <n v="43023.98"/>
    <n v="0"/>
    <n v="92"/>
    <x v="0"/>
  </r>
  <r>
    <s v="invoices_2026-05.csv"/>
    <s v="INV-202605-0067"/>
    <s v="C018"/>
    <d v="2026-05-07T00:00:00"/>
    <d v="2026-06-06T00:00:00"/>
    <n v="54468.88"/>
    <s v="Shirin Sultana"/>
    <n v="54468.88"/>
    <n v="0"/>
    <n v="86"/>
    <x v="0"/>
  </r>
  <r>
    <s v="invoices_2026-04.csv"/>
    <s v="INV-202604-0193"/>
    <s v="C003"/>
    <d v="2026-04-20T00:00:00"/>
    <d v="2026-05-20T00:00:00"/>
    <n v="27974.97"/>
    <s v="Mahbub Alam"/>
    <n v="27974.97"/>
    <n v="0"/>
    <n v="103"/>
    <x v="0"/>
  </r>
  <r>
    <s v="invoices_2026-05.csv"/>
    <s v="INV-202605-0087"/>
    <s v="C018"/>
    <d v="2026-05-10T00:00:00"/>
    <d v="2026-06-09T00:00:00"/>
    <n v="78969.289999999994"/>
    <s v="Shirin Sultana"/>
    <n v="78969.289999999994"/>
    <n v="0"/>
    <n v="83"/>
    <x v="0"/>
  </r>
  <r>
    <s v="invoices_2026-05.csv"/>
    <s v="INV-202605-0135"/>
    <s v="C022"/>
    <d v="2026-05-15T00:00:00"/>
    <d v="2026-05-30T00:00:00"/>
    <n v="132447.43"/>
    <s v="Mahbub Alam"/>
    <n v="132447.43"/>
    <n v="0"/>
    <n v="93"/>
    <x v="0"/>
  </r>
  <r>
    <s v="invoices_2026-04.csv"/>
    <s v="INV-202604-0196"/>
    <s v="C022"/>
    <d v="2026-04-21T00:00:00"/>
    <d v="2026-05-06T00:00:00"/>
    <n v="188316.16"/>
    <s v="Mahbub Alam"/>
    <n v="188316.16"/>
    <n v="0"/>
    <n v="117"/>
    <x v="0"/>
  </r>
  <r>
    <s v="invoices_2026-04.csv"/>
    <s v="INV-202604-0197"/>
    <s v="C038"/>
    <d v="2026-04-21T00:00:00"/>
    <d v="2026-06-20T00:00:00"/>
    <n v="127500.3"/>
    <s v="Imran Hossain"/>
    <n v="90247.23000000001"/>
    <n v="37253.07"/>
    <n v="72"/>
    <x v="2"/>
  </r>
  <r>
    <s v="invoices_2026-04.csv"/>
    <s v="INV-202604-0230"/>
    <s v="C044"/>
    <d v="2026-04-24T00:00:00"/>
    <d v="2026-05-24T00:00:00"/>
    <n v="123033.21"/>
    <s v="Mahbub Alam"/>
    <n v="123033.21"/>
    <n v="0"/>
    <n v="99"/>
    <x v="0"/>
  </r>
  <r>
    <s v="invoices_2026-04.csv"/>
    <s v="INV-202604-0290"/>
    <s v="C004"/>
    <d v="2026-04-29T00:00:00"/>
    <d v="2026-06-13T00:00:00"/>
    <n v="364292.42"/>
    <s v="Nusrat Jahan"/>
    <n v="364292.42"/>
    <n v="0"/>
    <n v="79"/>
    <x v="0"/>
  </r>
  <r>
    <s v="invoices_2026-04.csv"/>
    <s v="INV-202604-0199"/>
    <s v="C019"/>
    <d v="2026-04-21T00:00:00"/>
    <d v="2026-06-20T00:00:00"/>
    <n v="19088.080000000002"/>
    <s v="Tanvir Ahmed"/>
    <n v="19088.080000000002"/>
    <n v="0"/>
    <n v="72"/>
    <x v="0"/>
  </r>
  <r>
    <s v="invoices_2026-05.csv"/>
    <s v="INV-202605-0012"/>
    <s v="C033"/>
    <d v="2026-05-02T00:00:00"/>
    <d v="2026-06-01T00:00:00"/>
    <n v="110187.42"/>
    <s v="Nusrat Jahan"/>
    <n v="110187.42"/>
    <n v="0"/>
    <n v="91"/>
    <x v="0"/>
  </r>
  <r>
    <s v="invoices_2026-04.csv"/>
    <s v="INV-202604-0200"/>
    <s v="C046"/>
    <d v="2026-04-21T00:00:00"/>
    <d v="2026-05-21T00:00:00"/>
    <n v="59868.2"/>
    <s v="Mahbub Alam"/>
    <n v="59868.2"/>
    <n v="0"/>
    <n v="102"/>
    <x v="0"/>
  </r>
  <r>
    <s v="invoices_2026-05.csv"/>
    <s v="INV-202605-0025"/>
    <s v="C049"/>
    <d v="2026-05-04T00:00:00"/>
    <d v="2026-05-19T00:00:00"/>
    <n v="46711.65"/>
    <s v="Farzana Akter"/>
    <n v="46711.65"/>
    <n v="0"/>
    <n v="104"/>
    <x v="0"/>
  </r>
  <r>
    <s v="invoices_2026-05.csv"/>
    <s v="INV-202605-0062"/>
    <s v="C001"/>
    <d v="2026-05-07T00:00:00"/>
    <d v="2026-05-22T00:00:00"/>
    <n v="24005.43"/>
    <s v="Nusrat Jahan"/>
    <n v="24005.43"/>
    <n v="0"/>
    <n v="101"/>
    <x v="0"/>
  </r>
  <r>
    <s v="invoices_2026-05.csv"/>
    <s v="INV-202605-0096"/>
    <s v="C039"/>
    <d v="2026-05-12T00:00:00"/>
    <d v="2026-05-27T00:00:00"/>
    <n v="33941.14"/>
    <s v="Mahbub Alam"/>
    <n v="33941.14"/>
    <n v="0"/>
    <n v="96"/>
    <x v="0"/>
  </r>
  <r>
    <s v="invoices_2026-04.csv"/>
    <s v="INV-202604-0203"/>
    <s v="C008"/>
    <d v="2026-04-22T00:00:00"/>
    <d v="2026-06-06T00:00:00"/>
    <n v="1412043.84"/>
    <s v="Shirin Sultana"/>
    <n v="1412043.84"/>
    <n v="0"/>
    <n v="86"/>
    <x v="0"/>
  </r>
  <r>
    <s v="invoices_2026-05.csv"/>
    <s v="INV-202605-0171"/>
    <s v="C036"/>
    <d v="2026-05-18T00:00:00"/>
    <d v="2026-06-17T00:00:00"/>
    <n v="456748.96"/>
    <s v="Nusrat Jahan"/>
    <n v="456748.96"/>
    <n v="0"/>
    <n v="75"/>
    <x v="0"/>
  </r>
  <r>
    <s v="invoices_2026-04.csv"/>
    <s v="INV-202604-0205"/>
    <s v="C020"/>
    <d v="2026-04-22T00:00:00"/>
    <d v="2026-06-21T00:00:00"/>
    <n v="476117.4"/>
    <s v="Nusrat Jahan"/>
    <n v="476117.4"/>
    <n v="0"/>
    <n v="71"/>
    <x v="0"/>
  </r>
  <r>
    <s v="invoices_2026-04.csv"/>
    <s v="INV-202604-0206"/>
    <s v="C019"/>
    <d v="2026-04-22T00:00:00"/>
    <d v="2026-06-21T00:00:00"/>
    <n v="148452.01999999999"/>
    <s v="Tanvir Ahmed"/>
    <n v="87086.32"/>
    <n v="61365.7"/>
    <n v="71"/>
    <x v="2"/>
  </r>
  <r>
    <s v="invoices_2026-04.csv"/>
    <s v="INV-202604-0219"/>
    <s v="C012"/>
    <d v="2026-04-23T00:00:00"/>
    <d v="2026-05-23T00:00:00"/>
    <n v="372533.91"/>
    <s v="Shirin Sultana"/>
    <n v="372533.91"/>
    <n v="0"/>
    <n v="100"/>
    <x v="0"/>
  </r>
  <r>
    <s v="invoices_2026-04.csv"/>
    <s v="INV-202604-0207"/>
    <s v="C042"/>
    <d v="2026-04-22T00:00:00"/>
    <d v="2026-05-22T00:00:00"/>
    <n v="36259.97"/>
    <s v="Nusrat Jahan"/>
    <n v="36259.97"/>
    <n v="0"/>
    <n v="101"/>
    <x v="0"/>
  </r>
  <r>
    <s v="invoices_2026-04.csv"/>
    <s v="INV-202604-0252"/>
    <s v="C029"/>
    <d v="2026-04-26T00:00:00"/>
    <d v="2026-05-26T00:00:00"/>
    <n v="65460.13"/>
    <s v="Farzana Akter"/>
    <n v="65460.13"/>
    <n v="0"/>
    <n v="97"/>
    <x v="0"/>
  </r>
  <r>
    <s v="invoices_2026-04.csv"/>
    <s v="INV-202604-0254"/>
    <s v="C044"/>
    <d v="2026-04-26T00:00:00"/>
    <d v="2026-05-26T00:00:00"/>
    <n v="376178.78"/>
    <s v="Mahbub Alam"/>
    <n v="376178.78"/>
    <n v="0"/>
    <n v="97"/>
    <x v="0"/>
  </r>
  <r>
    <s v="invoices_2026-04.csv"/>
    <s v="INV-202604-0209"/>
    <s v="C032"/>
    <d v="2026-04-22T00:00:00"/>
    <d v="2026-06-06T00:00:00"/>
    <n v="381372.92"/>
    <s v="Shirin Sultana"/>
    <n v="381372.92"/>
    <n v="0"/>
    <n v="86"/>
    <x v="0"/>
  </r>
  <r>
    <s v="invoices_2026-04.csv"/>
    <s v="INV-202604-0261"/>
    <s v="C013"/>
    <d v="2026-04-27T00:00:00"/>
    <d v="2026-06-26T00:00:00"/>
    <n v="989605.61"/>
    <s v="Nusrat Jahan"/>
    <n v="989605.61"/>
    <n v="0"/>
    <n v="66"/>
    <x v="0"/>
  </r>
  <r>
    <s v="invoices_2026-04.csv"/>
    <s v="INV-202604-0210"/>
    <s v="C030"/>
    <d v="2026-04-23T00:00:00"/>
    <d v="2026-05-23T00:00:00"/>
    <n v="179146.39"/>
    <s v="Tanvir Ahmed"/>
    <n v="179146.39"/>
    <n v="0"/>
    <n v="100"/>
    <x v="0"/>
  </r>
  <r>
    <s v="invoices_2026-05.csv"/>
    <s v="INV-202605-0119"/>
    <s v="C037"/>
    <d v="2026-05-13T00:00:00"/>
    <d v="2026-05-28T00:00:00"/>
    <n v="42127.34"/>
    <s v="Tanvir Ahmed"/>
    <n v="42127.34"/>
    <n v="0"/>
    <n v="95"/>
    <x v="0"/>
  </r>
  <r>
    <s v="invoices_2026-04.csv"/>
    <s v="INV-202604-0212"/>
    <s v="C013"/>
    <d v="2026-04-23T00:00:00"/>
    <d v="2026-06-22T00:00:00"/>
    <n v="56752.68"/>
    <s v="Nusrat Jahan"/>
    <n v="56752.68"/>
    <n v="0"/>
    <n v="70"/>
    <x v="0"/>
  </r>
  <r>
    <s v="invoices_2026-04.csv"/>
    <s v="INV-202604-0213"/>
    <s v="C032"/>
    <d v="2026-04-23T00:00:00"/>
    <d v="2026-06-07T00:00:00"/>
    <n v="226820.5"/>
    <s v="Shirin Sultana"/>
    <n v="226820.5"/>
    <n v="0"/>
    <n v="85"/>
    <x v="0"/>
  </r>
  <r>
    <s v="invoices_2026-04.csv"/>
    <s v="INV-202604-0246"/>
    <s v="C023"/>
    <d v="2026-04-25T00:00:00"/>
    <d v="2026-05-25T00:00:00"/>
    <n v="67881.710000000006"/>
    <s v="Nusrat Jahan"/>
    <n v="67881.710000000006"/>
    <n v="0"/>
    <n v="98"/>
    <x v="0"/>
  </r>
  <r>
    <s v="invoices_2026-05.csv"/>
    <s v="INV-202605-0021"/>
    <s v="C047"/>
    <d v="2026-05-03T00:00:00"/>
    <d v="2026-06-02T00:00:00"/>
    <n v="174464.25"/>
    <s v="Nusrat Jahan"/>
    <n v="174464.25"/>
    <n v="0"/>
    <n v="90"/>
    <x v="0"/>
  </r>
  <r>
    <s v="invoices_2026-04.csv"/>
    <s v="INV-202604-0217"/>
    <s v="C004"/>
    <d v="2026-04-23T00:00:00"/>
    <d v="2026-06-07T00:00:00"/>
    <n v="263785.86"/>
    <s v="Nusrat Jahan"/>
    <m/>
    <n v="263785.86"/>
    <n v="85"/>
    <x v="2"/>
  </r>
  <r>
    <s v="invoices_2026-05.csv"/>
    <s v="INV-202605-0088"/>
    <s v="C009"/>
    <d v="2026-05-10T00:00:00"/>
    <d v="2026-06-24T00:00:00"/>
    <n v="134547.97"/>
    <s v="Farzana Akter"/>
    <n v="134547.97"/>
    <n v="0"/>
    <n v="68"/>
    <x v="0"/>
  </r>
  <r>
    <s v="invoices_2026-05.csv"/>
    <s v="INV-202605-0111"/>
    <s v="C039"/>
    <d v="2026-05-13T00:00:00"/>
    <d v="2026-05-28T00:00:00"/>
    <n v="11697.29"/>
    <s v="Mahbub Alam"/>
    <n v="11697.29"/>
    <n v="0"/>
    <n v="95"/>
    <x v="0"/>
  </r>
  <r>
    <s v="invoices_2026-04.csv"/>
    <s v="INV-202604-0220"/>
    <s v="C038"/>
    <d v="2026-04-23T00:00:00"/>
    <d v="2026-06-22T00:00:00"/>
    <n v="166750.28"/>
    <s v="Imran Hossain"/>
    <n v="166750.28"/>
    <n v="0"/>
    <n v="70"/>
    <x v="0"/>
  </r>
  <r>
    <s v="invoices_2026-04.csv"/>
    <s v="INV-202604-0222"/>
    <s v="C040"/>
    <d v="2026-04-24T00:00:00"/>
    <d v="2026-06-23T00:00:00"/>
    <n v="181391.09"/>
    <s v="Nusrat Jahan"/>
    <n v="181391.09"/>
    <n v="0"/>
    <n v="69"/>
    <x v="0"/>
  </r>
  <r>
    <s v="invoices_2026-05.csv"/>
    <s v="INV-202605-0001"/>
    <s v="C007"/>
    <d v="2026-05-01T00:00:00"/>
    <d v="2026-05-31T00:00:00"/>
    <n v="419736.35"/>
    <s v="Mahbub Alam"/>
    <n v="419736.35"/>
    <n v="0"/>
    <n v="92"/>
    <x v="0"/>
  </r>
  <r>
    <s v="invoices_2026-04.csv"/>
    <s v="INV-202604-0223"/>
    <s v="C037"/>
    <d v="2026-04-24T00:00:00"/>
    <d v="2026-05-09T00:00:00"/>
    <n v="20531.07"/>
    <s v="Tanvir Ahmed"/>
    <n v="20531.07"/>
    <n v="0"/>
    <n v="114"/>
    <x v="0"/>
  </r>
  <r>
    <s v="invoices_2026-05.csv"/>
    <s v="INV-202605-0003"/>
    <s v="C043"/>
    <d v="2026-05-01T00:00:00"/>
    <d v="2026-05-31T00:00:00"/>
    <n v="9796.35"/>
    <s v="Shirin Sultana"/>
    <n v="9796.35"/>
    <n v="0"/>
    <n v="92"/>
    <x v="0"/>
  </r>
  <r>
    <s v="invoices_2026-04.csv"/>
    <s v="INV-202604-0224"/>
    <s v="C045"/>
    <d v="2026-04-24T00:00:00"/>
    <d v="2026-05-09T00:00:00"/>
    <n v="67916.160000000003"/>
    <s v="Mahbub Alam"/>
    <n v="67916.160000000003"/>
    <n v="0"/>
    <n v="114"/>
    <x v="0"/>
  </r>
  <r>
    <s v="invoices_2026-05.csv"/>
    <s v="INV-202605-0072"/>
    <s v="C024"/>
    <d v="2026-05-08T00:00:00"/>
    <d v="2026-06-07T00:00:00"/>
    <n v="16946.830000000002"/>
    <s v="Farzana Akter"/>
    <n v="16946.830000000002"/>
    <n v="0"/>
    <n v="85"/>
    <x v="0"/>
  </r>
  <r>
    <s v="invoices_2026-04.csv"/>
    <s v="INV-202604-0225"/>
    <s v="C019"/>
    <d v="2026-04-24T00:00:00"/>
    <d v="2026-06-23T00:00:00"/>
    <n v="155512.31"/>
    <s v="Tanvir Ahmed"/>
    <n v="155512.31"/>
    <n v="0"/>
    <n v="69"/>
    <x v="0"/>
  </r>
  <r>
    <s v="invoices_2026-05.csv"/>
    <s v="INV-202605-0137"/>
    <s v="C022"/>
    <d v="2026-05-15T00:00:00"/>
    <d v="2026-05-30T00:00:00"/>
    <n v="16397.07"/>
    <s v="Mahbub Alam"/>
    <n v="16397.07"/>
    <n v="0"/>
    <n v="93"/>
    <x v="0"/>
  </r>
  <r>
    <s v="invoices_2026-04.csv"/>
    <s v="INV-202604-0226"/>
    <s v="C024"/>
    <d v="2026-04-24T00:00:00"/>
    <d v="2026-05-24T00:00:00"/>
    <n v="35044.58"/>
    <s v="Farzana Akter"/>
    <n v="35044.58"/>
    <n v="0"/>
    <n v="99"/>
    <x v="0"/>
  </r>
  <r>
    <s v="invoices_2026-04.csv"/>
    <s v="INV-202604-0228"/>
    <s v="C032"/>
    <d v="2026-04-24T00:00:00"/>
    <d v="2026-06-08T00:00:00"/>
    <n v="37034.230000000003"/>
    <s v="Shirin Sultana"/>
    <n v="37034.230000000003"/>
    <n v="0"/>
    <n v="84"/>
    <x v="0"/>
  </r>
  <r>
    <s v="invoices_2026-04.csv"/>
    <s v="INV-202604-0229"/>
    <s v="C032"/>
    <d v="2026-04-24T00:00:00"/>
    <d v="2026-06-08T00:00:00"/>
    <n v="98827.04"/>
    <s v="Shirin Sultana"/>
    <n v="98827.04"/>
    <n v="0"/>
    <n v="84"/>
    <x v="0"/>
  </r>
  <r>
    <s v="invoices_2026-04.csv"/>
    <s v="INV-202604-0232"/>
    <s v="C046"/>
    <d v="2026-04-24T00:00:00"/>
    <d v="2026-05-24T00:00:00"/>
    <n v="109921.3"/>
    <s v="Mahbub Alam"/>
    <n v="109921.3"/>
    <n v="0"/>
    <n v="99"/>
    <x v="0"/>
  </r>
  <r>
    <s v="invoices_2026-04.csv"/>
    <s v="INV-202604-0245"/>
    <s v="C030"/>
    <d v="2026-04-25T00:00:00"/>
    <d v="2026-05-25T00:00:00"/>
    <n v="7653.42"/>
    <s v="Tanvir Ahmed"/>
    <n v="7653.42"/>
    <n v="0"/>
    <n v="98"/>
    <x v="0"/>
  </r>
  <r>
    <s v="invoices_2026-04.csv"/>
    <s v="INV-202604-0231"/>
    <s v="C005"/>
    <d v="2026-04-24T00:00:00"/>
    <d v="2026-05-24T00:00:00"/>
    <n v="99141.17"/>
    <s v="Mahbub Alam"/>
    <n v="99141.17"/>
    <n v="0"/>
    <n v="99"/>
    <x v="0"/>
  </r>
  <r>
    <s v="invoices_2026-04.csv"/>
    <s v="INV-202604-0280"/>
    <s v="C047"/>
    <d v="2026-04-28T00:00:00"/>
    <d v="2026-05-28T00:00:00"/>
    <n v="325077.46999999997"/>
    <s v="Nusrat Jahan"/>
    <n v="325077.46999999997"/>
    <n v="0"/>
    <n v="95"/>
    <x v="0"/>
  </r>
  <r>
    <s v="invoices_2026-04.csv"/>
    <s v="INV-202604-0268"/>
    <s v="C004"/>
    <d v="2026-04-28T00:00:00"/>
    <d v="2026-06-12T00:00:00"/>
    <n v="1557510.67"/>
    <s v="Nusrat Jahan"/>
    <n v="1557510.67"/>
    <n v="0"/>
    <n v="80"/>
    <x v="0"/>
  </r>
  <r>
    <s v="invoices_2026-04.csv"/>
    <s v="INV-202604-0233"/>
    <s v="C007"/>
    <d v="2026-04-24T00:00:00"/>
    <d v="2026-05-24T00:00:00"/>
    <n v="90759.39"/>
    <s v="Mahbub Alam"/>
    <n v="90759.39"/>
    <n v="0"/>
    <n v="99"/>
    <x v="0"/>
  </r>
  <r>
    <s v="invoices_2026-04.csv"/>
    <s v="INV-202604-0271"/>
    <s v="C029"/>
    <d v="2026-04-28T00:00:00"/>
    <d v="2026-05-28T00:00:00"/>
    <n v="88213.32"/>
    <s v="Farzana Akter"/>
    <n v="66408.319999999992"/>
    <n v="21805"/>
    <n v="95"/>
    <x v="1"/>
  </r>
  <r>
    <s v="invoices_2026-05.csv"/>
    <s v="INV-202605-0009"/>
    <s v="C024"/>
    <d v="2026-05-02T00:00:00"/>
    <d v="2026-06-01T00:00:00"/>
    <n v="41158.97"/>
    <s v="Farzana Akter"/>
    <n v="41158.97"/>
    <n v="0"/>
    <n v="91"/>
    <x v="0"/>
  </r>
  <r>
    <s v="invoices_2026-05.csv"/>
    <s v="INV-202605-0091"/>
    <s v="C041"/>
    <d v="2026-05-11T00:00:00"/>
    <d v="2026-06-10T00:00:00"/>
    <n v="45357.13"/>
    <s v="Tanvir Ahmed"/>
    <n v="45357.13"/>
    <n v="0"/>
    <n v="82"/>
    <x v="0"/>
  </r>
  <r>
    <s v="invoices_2026-04.csv"/>
    <s v="INV-202604-0236"/>
    <s v="C019"/>
    <d v="2026-04-25T00:00:00"/>
    <d v="2026-06-24T00:00:00"/>
    <n v="1445477.95"/>
    <s v="Tanvir Ahmed"/>
    <n v="1445477.95"/>
    <n v="0"/>
    <n v="68"/>
    <x v="0"/>
  </r>
  <r>
    <s v="invoices_2026-05.csv"/>
    <s v="INV-202605-0107"/>
    <s v="C041"/>
    <d v="2026-05-12T00:00:00"/>
    <d v="2026-06-11T00:00:00"/>
    <n v="5000"/>
    <s v="Tanvir Ahmed"/>
    <n v="5000"/>
    <n v="0"/>
    <n v="81"/>
    <x v="0"/>
  </r>
  <r>
    <s v="invoices_2026-05.csv"/>
    <s v="INV-202605-0133"/>
    <s v="C041"/>
    <d v="2026-05-15T00:00:00"/>
    <d v="2026-06-14T00:00:00"/>
    <n v="26833.61"/>
    <s v="Tanvir Ahmed"/>
    <n v="26833.61"/>
    <n v="0"/>
    <n v="78"/>
    <x v="0"/>
  </r>
  <r>
    <s v="invoices_2026-05.csv"/>
    <s v="INV-202605-0146"/>
    <s v="C022"/>
    <d v="2026-05-16T00:00:00"/>
    <d v="2026-05-31T00:00:00"/>
    <n v="38764.53"/>
    <s v="Mahbub Alam"/>
    <n v="38764.53"/>
    <n v="0"/>
    <n v="92"/>
    <x v="0"/>
  </r>
  <r>
    <s v="invoices_2026-04.csv"/>
    <s v="INV-202604-0240"/>
    <s v="C047"/>
    <d v="2026-04-25T00:00:00"/>
    <d v="2026-05-25T00:00:00"/>
    <n v="46988.3"/>
    <s v="Nusrat Jahan"/>
    <n v="46988.3"/>
    <n v="0"/>
    <n v="98"/>
    <x v="0"/>
  </r>
  <r>
    <s v="invoices_2026-04.csv"/>
    <s v="INV-202604-0295"/>
    <s v="C007"/>
    <d v="2026-04-30T00:00:00"/>
    <d v="2026-05-30T00:00:00"/>
    <n v="625108.14"/>
    <s v="Mahbub Alam"/>
    <n v="625108.14"/>
    <n v="0"/>
    <n v="93"/>
    <x v="0"/>
  </r>
  <r>
    <s v="invoices_2026-05.csv"/>
    <s v="INV-202605-0116"/>
    <s v="C044"/>
    <d v="2026-05-13T00:00:00"/>
    <d v="2026-06-12T00:00:00"/>
    <n v="243616.13"/>
    <s v="Mahbub Alam"/>
    <n v="243616.13"/>
    <n v="0"/>
    <n v="80"/>
    <x v="0"/>
  </r>
  <r>
    <s v="invoices_2026-05.csv"/>
    <s v="INV-202605-0174"/>
    <s v="C030"/>
    <d v="2026-05-18T00:00:00"/>
    <d v="2026-06-17T00:00:00"/>
    <n v="18097.93"/>
    <s v="Tanvir Ahmed"/>
    <n v="18097.93"/>
    <n v="0"/>
    <n v="75"/>
    <x v="0"/>
  </r>
  <r>
    <s v="invoices_2026-04.csv"/>
    <s v="INV-202604-0243"/>
    <s v="C028"/>
    <d v="2026-04-25T00:00:00"/>
    <d v="2026-06-24T00:00:00"/>
    <n v="147261.79"/>
    <s v="Shirin Sultana"/>
    <n v="147261.79"/>
    <n v="0"/>
    <n v="68"/>
    <x v="0"/>
  </r>
  <r>
    <s v="invoices_2026-04.csv"/>
    <s v="INV-202604-0272"/>
    <s v="C013"/>
    <d v="2026-04-28T00:00:00"/>
    <d v="2026-06-27T00:00:00"/>
    <n v="566448.76"/>
    <s v="Nusrat Jahan"/>
    <n v="566448.76"/>
    <n v="0"/>
    <n v="65"/>
    <x v="0"/>
  </r>
  <r>
    <s v="invoices_2026-05.csv"/>
    <s v="INV-202605-0076"/>
    <s v="C044"/>
    <d v="2026-05-09T00:00:00"/>
    <d v="2026-06-08T00:00:00"/>
    <n v="609840.86"/>
    <s v="Mahbub Alam"/>
    <n v="609840.86"/>
    <n v="0"/>
    <n v="84"/>
    <x v="0"/>
  </r>
  <r>
    <s v="invoices_2026-04.csv"/>
    <s v="INV-202604-0248"/>
    <s v="C026"/>
    <d v="2026-04-26T00:00:00"/>
    <d v="2026-05-26T00:00:00"/>
    <n v="538113.97"/>
    <s v="Nusrat Jahan"/>
    <n v="342714.56"/>
    <n v="195399.41"/>
    <n v="97"/>
    <x v="1"/>
  </r>
  <r>
    <s v="invoices_2026-05.csv"/>
    <s v="INV-202605-0152"/>
    <s v="C043"/>
    <d v="2026-05-17T00:00:00"/>
    <d v="2026-06-16T00:00:00"/>
    <n v="37323.97"/>
    <s v="Shirin Sultana"/>
    <n v="37323.97"/>
    <n v="0"/>
    <n v="76"/>
    <x v="0"/>
  </r>
  <r>
    <s v="invoices_2026-04.csv"/>
    <s v="INV-202604-0249"/>
    <s v="C030"/>
    <d v="2026-04-26T00:00:00"/>
    <d v="2026-05-26T00:00:00"/>
    <n v="52036.55"/>
    <s v="Tanvir Ahmed"/>
    <n v="52036.55"/>
    <n v="0"/>
    <n v="97"/>
    <x v="0"/>
  </r>
  <r>
    <s v="invoices_2026-04.csv"/>
    <s v="INV-202604-0251"/>
    <s v="C035"/>
    <d v="2026-04-26T00:00:00"/>
    <d v="2026-06-10T00:00:00"/>
    <n v="855873.6"/>
    <s v="Farzana Akter"/>
    <m/>
    <n v="855873.6"/>
    <n v="82"/>
    <x v="2"/>
  </r>
  <r>
    <s v="invoices_2026-05.csv"/>
    <s v="INV-202605-0005"/>
    <s v="C007"/>
    <d v="2026-05-01T00:00:00"/>
    <d v="2026-05-31T00:00:00"/>
    <n v="62907.08"/>
    <s v="Mahbub Alam"/>
    <n v="42470.17"/>
    <n v="20436.91"/>
    <n v="92"/>
    <x v="1"/>
  </r>
  <r>
    <s v="invoices_2026-05.csv"/>
    <s v="INV-202605-0005"/>
    <s v="C007"/>
    <d v="2026-05-01T00:00:00"/>
    <d v="2026-05-31T00:00:00"/>
    <n v="62907.08"/>
    <s v="Mahbub Alam"/>
    <n v="42470.17"/>
    <n v="20436.91"/>
    <n v="92"/>
    <x v="1"/>
  </r>
  <r>
    <s v="invoices_2026-04.csv"/>
    <s v="INV-202604-0253"/>
    <s v="C036"/>
    <d v="2026-04-26T00:00:00"/>
    <d v="2026-05-26T00:00:00"/>
    <n v="63851.69"/>
    <s v="Nusrat Jahan"/>
    <n v="63851.69"/>
    <n v="0"/>
    <n v="97"/>
    <x v="0"/>
  </r>
  <r>
    <s v="invoices_2026-05.csv"/>
    <s v="INV-202605-0108"/>
    <s v="C021"/>
    <d v="2026-05-12T00:00:00"/>
    <d v="2026-06-11T00:00:00"/>
    <n v="58690.27"/>
    <s v="Mahbub Alam"/>
    <n v="58690.27"/>
    <n v="0"/>
    <n v="81"/>
    <x v="0"/>
  </r>
  <r>
    <s v="invoices_2026-05.csv"/>
    <s v="INV-202605-0177"/>
    <s v="C039"/>
    <d v="2026-05-19T00:00:00"/>
    <d v="2026-06-03T00:00:00"/>
    <n v="24759.01"/>
    <s v="Mahbub Alam"/>
    <n v="24759.01"/>
    <n v="0"/>
    <n v="89"/>
    <x v="0"/>
  </r>
  <r>
    <s v="invoices_2026-04.csv"/>
    <s v="INV-202604-0255"/>
    <s v="C004"/>
    <d v="2026-04-26T00:00:00"/>
    <d v="2026-06-10T00:00:00"/>
    <n v="102781.27"/>
    <s v="Nusrat Jahan"/>
    <n v="102781.27"/>
    <n v="0"/>
    <n v="82"/>
    <x v="0"/>
  </r>
  <r>
    <s v="invoices_2026-04.csv"/>
    <s v="INV-202604-0256"/>
    <s v="C005"/>
    <d v="2026-04-26T00:00:00"/>
    <d v="2026-05-26T00:00:00"/>
    <n v="103674.34"/>
    <s v="Mahbub Alam"/>
    <n v="103674.34"/>
    <n v="0"/>
    <n v="97"/>
    <x v="0"/>
  </r>
  <r>
    <s v="invoices_2026-04.csv"/>
    <s v="INV-202604-0258"/>
    <s v="C020"/>
    <d v="2026-04-26T00:00:00"/>
    <d v="2026-06-25T00:00:00"/>
    <n v="250625.44"/>
    <s v="Nusrat Jahan"/>
    <n v="250625.44"/>
    <n v="0"/>
    <n v="67"/>
    <x v="0"/>
  </r>
  <r>
    <s v="invoices_2026-04.csv"/>
    <s v="INV-202604-0259"/>
    <s v="C002"/>
    <d v="2026-04-26T00:00:00"/>
    <d v="2026-06-10T00:00:00"/>
    <n v="122450.14"/>
    <s v="Tanvir Ahmed"/>
    <n v="122450.14"/>
    <n v="0"/>
    <n v="82"/>
    <x v="0"/>
  </r>
  <r>
    <s v="invoices_2026-05.csv"/>
    <s v="INV-202605-0118"/>
    <s v="C046"/>
    <d v="2026-05-13T00:00:00"/>
    <d v="2026-06-12T00:00:00"/>
    <n v="218343.87"/>
    <s v="Mahbub Alam"/>
    <n v="218343.87"/>
    <n v="0"/>
    <n v="80"/>
    <x v="0"/>
  </r>
  <r>
    <s v="invoices_2026-04.csv"/>
    <s v="INV-202604-0260"/>
    <s v="C044"/>
    <d v="2026-04-27T00:00:00"/>
    <d v="2026-05-27T00:00:00"/>
    <n v="1628413"/>
    <s v="Mahbub Alam"/>
    <n v="1628413"/>
    <n v="0"/>
    <n v="96"/>
    <x v="0"/>
  </r>
  <r>
    <s v="invoices_2026-05.csv"/>
    <s v="INV-202605-0126"/>
    <s v="C026"/>
    <d v="2026-05-14T00:00:00"/>
    <d v="2026-06-13T00:00:00"/>
    <n v="176950.66"/>
    <s v="Nusrat Jahan"/>
    <n v="176950.66"/>
    <n v="0"/>
    <n v="79"/>
    <x v="0"/>
  </r>
  <r>
    <s v="invoices_2026-05.csv"/>
    <s v="INV-202605-0166"/>
    <s v="C049"/>
    <d v="2026-05-18T00:00:00"/>
    <d v="2026-06-02T00:00:00"/>
    <n v="78205.259999999995"/>
    <s v="Farzana Akter"/>
    <n v="78205.259999999995"/>
    <n v="0"/>
    <n v="90"/>
    <x v="0"/>
  </r>
  <r>
    <s v="invoices_2026-05.csv"/>
    <s v="INV-202605-0195"/>
    <s v="C010"/>
    <d v="2026-05-21T00:00:00"/>
    <d v="2026-06-05T00:00:00"/>
    <n v="506419.23"/>
    <s v="Imran Hossain"/>
    <n v="506419.23"/>
    <n v="0"/>
    <n v="87"/>
    <x v="0"/>
  </r>
  <r>
    <s v="invoices_2026-04.csv"/>
    <s v="INV-202604-0263"/>
    <s v="C035"/>
    <d v="2026-04-27T00:00:00"/>
    <d v="2026-06-11T00:00:00"/>
    <n v="774941.06"/>
    <s v="Farzana Akter"/>
    <m/>
    <n v="774941.06"/>
    <n v="81"/>
    <x v="2"/>
  </r>
  <r>
    <s v="invoices_2026-05.csv"/>
    <s v="INV-202605-0227"/>
    <s v="C049"/>
    <d v="2026-05-25T00:00:00"/>
    <d v="2026-06-09T00:00:00"/>
    <n v="28530.01"/>
    <s v="Farzana Akter"/>
    <n v="28530.01"/>
    <n v="0"/>
    <n v="83"/>
    <x v="0"/>
  </r>
  <r>
    <s v="invoices_2026-04.csv"/>
    <s v="INV-202604-0264"/>
    <s v="C030"/>
    <d v="2026-04-27T00:00:00"/>
    <d v="2026-05-27T00:00:00"/>
    <n v="219741.5"/>
    <s v="Tanvir Ahmed"/>
    <n v="219741.5"/>
    <n v="0"/>
    <n v="96"/>
    <x v="0"/>
  </r>
  <r>
    <s v="invoices_2026-05.csv"/>
    <s v="INV-202605-0235"/>
    <s v="C044"/>
    <d v="2026-05-26T00:00:00"/>
    <d v="2026-06-25T00:00:00"/>
    <n v="246367.14"/>
    <s v="Mahbub Alam"/>
    <n v="246367.13999999998"/>
    <n v="0"/>
    <n v="67"/>
    <x v="0"/>
  </r>
  <r>
    <s v="invoices_2026-04.csv"/>
    <s v="INV-202604-0284"/>
    <s v="C007"/>
    <d v="2026-04-29T00:00:00"/>
    <d v="2026-05-29T00:00:00"/>
    <n v="30601.48"/>
    <s v="Mahbub Alam"/>
    <n v="30601.48"/>
    <n v="0"/>
    <n v="94"/>
    <x v="0"/>
  </r>
  <r>
    <s v="invoices_2026-05.csv"/>
    <s v="INV-202605-0037"/>
    <s v="C024"/>
    <d v="2026-05-04T00:00:00"/>
    <d v="2026-06-03T00:00:00"/>
    <n v="108277.02"/>
    <s v="Farzana Akter"/>
    <n v="108277.02"/>
    <n v="0"/>
    <n v="89"/>
    <x v="0"/>
  </r>
  <r>
    <s v="invoices_2026-05.csv"/>
    <s v="INV-202605-0070"/>
    <s v="C004"/>
    <d v="2026-05-08T00:00:00"/>
    <d v="2026-06-22T00:00:00"/>
    <n v="711380.09"/>
    <s v="Nusrat Jahan"/>
    <n v="711380.09"/>
    <n v="0"/>
    <n v="70"/>
    <x v="0"/>
  </r>
  <r>
    <s v="invoices_2026-04.csv"/>
    <s v="INV-202604-0273"/>
    <s v="C018"/>
    <d v="2026-04-28T00:00:00"/>
    <d v="2026-05-28T00:00:00"/>
    <n v="127022.67"/>
    <s v="Shirin Sultana"/>
    <n v="127022.67"/>
    <n v="0"/>
    <n v="95"/>
    <x v="0"/>
  </r>
  <r>
    <s v="invoices_2026-05.csv"/>
    <s v="INV-202605-0077"/>
    <s v="C017"/>
    <d v="2026-05-09T00:00:00"/>
    <d v="2026-05-24T00:00:00"/>
    <n v="38570.660000000003"/>
    <s v="Tanvir Ahmed"/>
    <n v="38570.660000000003"/>
    <n v="0"/>
    <n v="99"/>
    <x v="0"/>
  </r>
  <r>
    <s v="invoices_2026-04.csv"/>
    <s v="INV-202604-0274"/>
    <s v="C045"/>
    <d v="2026-04-28T00:00:00"/>
    <d v="2026-05-13T00:00:00"/>
    <n v="18865.080000000002"/>
    <s v="Mahbub Alam"/>
    <n v="18865.080000000002"/>
    <n v="0"/>
    <n v="110"/>
    <x v="0"/>
  </r>
  <r>
    <s v="invoices_2026-05.csv"/>
    <s v="INV-202605-0183"/>
    <s v="C041"/>
    <d v="2026-05-20T00:00:00"/>
    <d v="2026-06-19T00:00:00"/>
    <n v="43312.03"/>
    <s v="Tanvir Ahmed"/>
    <n v="17921.080000000002"/>
    <n v="25390.95"/>
    <n v="73"/>
    <x v="2"/>
  </r>
  <r>
    <s v="invoices_2026-04.csv"/>
    <s v="INV-202604-0275"/>
    <s v="C026"/>
    <d v="2026-04-28T00:00:00"/>
    <d v="2026-05-28T00:00:00"/>
    <n v="200270.59"/>
    <s v="Nusrat Jahan"/>
    <n v="200270.59"/>
    <n v="0"/>
    <n v="95"/>
    <x v="0"/>
  </r>
  <r>
    <s v="invoices_2026-04.csv"/>
    <s v="INV-202604-0276"/>
    <s v="C016"/>
    <d v="2026-04-28T00:00:00"/>
    <d v="2026-05-28T00:00:00"/>
    <n v="17789.849999999999"/>
    <s v="Shirin Sultana"/>
    <n v="17789.849999999999"/>
    <n v="0"/>
    <n v="95"/>
    <x v="0"/>
  </r>
  <r>
    <s v="invoices_2026-04.csv"/>
    <s v="INV-202604-0277"/>
    <s v="C013"/>
    <d v="2026-04-28T00:00:00"/>
    <d v="2026-06-27T00:00:00"/>
    <n v="164784.26"/>
    <s v="Nusrat Jahan"/>
    <m/>
    <n v="164784.26"/>
    <n v="65"/>
    <x v="2"/>
  </r>
  <r>
    <s v="invoices_2026-04.csv"/>
    <s v="INV-202604-0283"/>
    <s v="C004"/>
    <d v="2026-04-29T00:00:00"/>
    <d v="2026-06-13T00:00:00"/>
    <n v="192923.74"/>
    <s v="Nusrat Jahan"/>
    <n v="54964"/>
    <n v="137959.74"/>
    <n v="79"/>
    <x v="2"/>
  </r>
  <r>
    <s v="invoices_2026-05.csv"/>
    <s v="INV-202605-0060"/>
    <s v="C019"/>
    <d v="2026-05-07T00:00:00"/>
    <d v="2026-07-06T00:00:00"/>
    <n v="87605.84"/>
    <s v="Tanvir Ahmed"/>
    <n v="87605.84"/>
    <n v="0"/>
    <n v="56"/>
    <x v="0"/>
  </r>
  <r>
    <s v="invoices_2026-05.csv"/>
    <s v="INV-202605-0100"/>
    <s v="C048"/>
    <d v="2026-05-12T00:00:00"/>
    <d v="2026-06-11T00:00:00"/>
    <n v="9196.1"/>
    <s v="Imran Hossain"/>
    <n v="9196.1"/>
    <n v="0"/>
    <n v="81"/>
    <x v="0"/>
  </r>
  <r>
    <s v="invoices_2026-05.csv"/>
    <s v="INV-202605-0104"/>
    <s v="C012"/>
    <d v="2026-05-12T00:00:00"/>
    <d v="2026-06-11T00:00:00"/>
    <n v="41256.92"/>
    <s v="Shirin Sultana"/>
    <n v="41256.92"/>
    <n v="0"/>
    <n v="81"/>
    <x v="0"/>
  </r>
  <r>
    <s v="invoices_2026-05.csv"/>
    <s v="INV-202605-0132"/>
    <s v="C030"/>
    <d v="2026-05-15T00:00:00"/>
    <d v="2026-06-14T00:00:00"/>
    <n v="72866.47"/>
    <s v="Tanvir Ahmed"/>
    <n v="72866.47"/>
    <n v="0"/>
    <n v="78"/>
    <x v="0"/>
  </r>
  <r>
    <s v="invoices_2026-04.csv"/>
    <s v="INV-202604-0282"/>
    <s v="C046"/>
    <d v="2026-04-29T00:00:00"/>
    <d v="2026-05-29T00:00:00"/>
    <n v="117329.19"/>
    <s v="Mahbub Alam"/>
    <m/>
    <n v="117329.19"/>
    <n v="94"/>
    <x v="1"/>
  </r>
  <r>
    <s v="invoices_2026-05.csv"/>
    <s v="INV-202605-0028"/>
    <s v="C018"/>
    <d v="2026-05-04T00:00:00"/>
    <d v="2026-06-03T00:00:00"/>
    <n v="1147209.1100000001"/>
    <s v="Shirin Sultana"/>
    <n v="655936.48"/>
    <n v="491272.63"/>
    <n v="89"/>
    <x v="2"/>
  </r>
  <r>
    <s v="invoices_2026-05.csv"/>
    <s v="INV-202605-0069"/>
    <s v="C012"/>
    <d v="2026-05-08T00:00:00"/>
    <d v="2026-06-07T00:00:00"/>
    <n v="336349.29"/>
    <s v="Shirin Sultana"/>
    <n v="336349.29"/>
    <n v="0"/>
    <n v="85"/>
    <x v="0"/>
  </r>
  <r>
    <s v="invoices_2026-05.csv"/>
    <s v="INV-202605-0158"/>
    <s v="C025"/>
    <d v="2026-05-17T00:00:00"/>
    <d v="2026-07-01T00:00:00"/>
    <n v="386325.93"/>
    <s v="Imran Hossain"/>
    <n v="386325.93"/>
    <n v="0"/>
    <n v="61"/>
    <x v="0"/>
  </r>
  <r>
    <s v="invoices_2026-04.csv"/>
    <s v="INV-202604-0285"/>
    <s v="C046"/>
    <d v="2026-04-29T00:00:00"/>
    <d v="2026-05-29T00:00:00"/>
    <n v="37808.49"/>
    <s v="Mahbub Alam"/>
    <m/>
    <n v="37808.49"/>
    <n v="94"/>
    <x v="1"/>
  </r>
  <r>
    <s v="invoices_2026-05.csv"/>
    <s v="INV-202605-0186"/>
    <s v="C027"/>
    <d v="2026-05-20T00:00:00"/>
    <d v="2026-06-04T00:00:00"/>
    <n v="16221.98"/>
    <s v="Imran Hossain"/>
    <n v="16221.98"/>
    <n v="0"/>
    <n v="88"/>
    <x v="0"/>
  </r>
  <r>
    <s v="invoices_2026-04.csv"/>
    <s v="INV-202604-0286"/>
    <s v="C036"/>
    <d v="2026-04-29T00:00:00"/>
    <d v="2026-05-29T00:00:00"/>
    <n v="6266.77"/>
    <s v="Nusrat Jahan"/>
    <n v="6266.77"/>
    <n v="0"/>
    <n v="94"/>
    <x v="0"/>
  </r>
  <r>
    <s v="invoices_2026-05.csv"/>
    <s v="INV-202605-0231"/>
    <s v="C022"/>
    <d v="2026-05-26T00:00:00"/>
    <d v="2026-06-10T00:00:00"/>
    <n v="38153.14"/>
    <s v="Mahbub Alam"/>
    <n v="38153.14"/>
    <n v="0"/>
    <n v="82"/>
    <x v="0"/>
  </r>
  <r>
    <s v="invoices_2026-05.csv"/>
    <s v="INV-202605-0240"/>
    <s v="C010"/>
    <d v="2026-05-27T00:00:00"/>
    <d v="2026-06-11T00:00:00"/>
    <n v="88761.600000000006"/>
    <s v="Imran Hossain"/>
    <n v="88761.600000000006"/>
    <n v="0"/>
    <n v="81"/>
    <x v="0"/>
  </r>
  <r>
    <s v="invoices_2026-06.csv"/>
    <s v="INV-202606-0016"/>
    <s v="C024"/>
    <d v="2026-06-02T00:00:00"/>
    <d v="2026-07-02T00:00:00"/>
    <n v="19219.68"/>
    <s v="Farzana Akter"/>
    <n v="19219.68"/>
    <n v="0"/>
    <n v="60"/>
    <x v="0"/>
  </r>
  <r>
    <s v="invoices_2026-06.csv"/>
    <s v="INV-202606-0022"/>
    <s v="C037"/>
    <d v="2026-06-02T00:00:00"/>
    <d v="2026-06-17T00:00:00"/>
    <n v="51273.8"/>
    <s v="Tanvir Ahmed"/>
    <n v="19898.36"/>
    <n v="31375.439999999999"/>
    <n v="75"/>
    <x v="2"/>
  </r>
  <r>
    <s v="invoices_2026-04.csv"/>
    <s v="INV-202604-0291"/>
    <s v="C013"/>
    <d v="2026-04-29T00:00:00"/>
    <d v="2026-06-28T00:00:00"/>
    <n v="1294923.4099999999"/>
    <s v="Nusrat Jahan"/>
    <n v="1294923.4099999999"/>
    <n v="0"/>
    <n v="64"/>
    <x v="0"/>
  </r>
  <r>
    <s v="invoices_2026-04.csv"/>
    <s v="INV-202604-0293"/>
    <s v="C024"/>
    <d v="2026-04-29T00:00:00"/>
    <d v="2026-05-29T00:00:00"/>
    <n v="73609.86"/>
    <s v="Farzana Akter"/>
    <m/>
    <n v="73609.86"/>
    <n v="94"/>
    <x v="1"/>
  </r>
  <r>
    <s v="invoices_2026-04.csv"/>
    <s v="INV-202604-0294"/>
    <s v="C035"/>
    <d v="2026-04-29T00:00:00"/>
    <d v="2026-06-13T00:00:00"/>
    <n v="161469.96"/>
    <s v="Farzana Akter"/>
    <m/>
    <n v="161469.96"/>
    <n v="79"/>
    <x v="2"/>
  </r>
  <r>
    <s v="invoices_2026-05.csv"/>
    <s v="INV-202605-0149"/>
    <s v="C046"/>
    <d v="2026-05-17T00:00:00"/>
    <d v="2026-06-16T00:00:00"/>
    <n v="237230.16"/>
    <s v="Mahbub Alam"/>
    <n v="237230.16000000003"/>
    <n v="-"/>
    <n v="76"/>
    <x v="0"/>
  </r>
  <r>
    <s v="invoices_2026-04.csv"/>
    <s v="INV-202604-0296"/>
    <s v="C040"/>
    <d v="2026-04-30T00:00:00"/>
    <d v="2026-06-29T00:00:00"/>
    <n v="279756.88"/>
    <s v="Nusrat Jahan"/>
    <n v="279756.88"/>
    <n v="0"/>
    <n v="63"/>
    <x v="0"/>
  </r>
  <r>
    <s v="invoices_2026-05.csv"/>
    <s v="INV-202605-0153"/>
    <s v="C023"/>
    <d v="2026-05-17T00:00:00"/>
    <d v="2026-06-16T00:00:00"/>
    <n v="136322.79"/>
    <s v="Nusrat Jahan"/>
    <n v="136322.79"/>
    <n v="0"/>
    <n v="76"/>
    <x v="0"/>
  </r>
  <r>
    <s v="invoices_2026-05.csv"/>
    <s v="INV-202605-0197"/>
    <s v="C027"/>
    <d v="2026-05-21T00:00:00"/>
    <d v="2026-06-05T00:00:00"/>
    <n v="17355.169999999998"/>
    <s v="Imran Hossain"/>
    <n v="17355.169999999998"/>
    <n v="0"/>
    <n v="87"/>
    <x v="0"/>
  </r>
  <r>
    <s v="invoices_2026-05.csv"/>
    <s v="INV-202605-0217"/>
    <s v="C022"/>
    <d v="2026-05-25T00:00:00"/>
    <d v="2026-06-09T00:00:00"/>
    <n v="236447.9"/>
    <s v="Mahbub Alam"/>
    <n v="236447.9"/>
    <n v="0"/>
    <n v="83"/>
    <x v="0"/>
  </r>
  <r>
    <s v="invoices_2026-05.csv"/>
    <s v="INV-202605-0272"/>
    <s v="C033"/>
    <d v="2026-05-30T00:00:00"/>
    <d v="2026-06-29T00:00:00"/>
    <n v="342786.01"/>
    <s v="Nusrat Jahan"/>
    <n v="169497.53"/>
    <n v="173288.48"/>
    <n v="63"/>
    <x v="2"/>
  </r>
  <r>
    <s v="invoices_2026-05.csv"/>
    <s v="INV-202605-0023"/>
    <s v="C020"/>
    <d v="2026-05-03T00:00:00"/>
    <d v="2026-07-02T00:00:00"/>
    <n v="152188.01"/>
    <s v="Nusrat Jahan"/>
    <n v="152188.01"/>
    <n v="0"/>
    <n v="60"/>
    <x v="0"/>
  </r>
  <r>
    <s v="invoices_2026-05.csv"/>
    <s v="INV-202605-0106"/>
    <s v="C008"/>
    <d v="2026-05-12T00:00:00"/>
    <d v="2026-06-26T00:00:00"/>
    <n v="399908.67"/>
    <s v="Shirin Sultana"/>
    <n v="399908.67000000004"/>
    <n v="-"/>
    <n v="66"/>
    <x v="0"/>
  </r>
  <r>
    <s v="invoices_2026-05.csv"/>
    <s v="INV-202605-0131"/>
    <s v="C012"/>
    <d v="2026-05-15T00:00:00"/>
    <d v="2026-06-14T00:00:00"/>
    <n v="71059.240000000005"/>
    <s v="Shirin Sultana"/>
    <n v="71059.240000000005"/>
    <n v="0"/>
    <n v="78"/>
    <x v="0"/>
  </r>
  <r>
    <s v="invoices_2026-05.csv"/>
    <s v="INV-202605-0211"/>
    <s v="C044"/>
    <d v="2026-05-24T00:00:00"/>
    <d v="2026-06-23T00:00:00"/>
    <n v="64767.94"/>
    <s v="Mahbub Alam"/>
    <n v="55008.9"/>
    <n v="9759.0400000000009"/>
    <n v="69"/>
    <x v="2"/>
  </r>
  <r>
    <s v="invoices_2026-05.csv"/>
    <s v="INV-202605-0253"/>
    <s v="C050"/>
    <d v="2026-05-28T00:00:00"/>
    <d v="2026-06-12T00:00:00"/>
    <n v="12313.21"/>
    <s v="Nusrat Jahan"/>
    <n v="12313.21"/>
    <n v="0"/>
    <n v="80"/>
    <x v="0"/>
  </r>
  <r>
    <s v="invoices_2026-05.csv"/>
    <s v="INV-202605-0014"/>
    <s v="C030"/>
    <d v="2026-05-02T00:00:00"/>
    <d v="2026-06-01T00:00:00"/>
    <n v="26574.880000000001"/>
    <s v="Tanvir Ahmed"/>
    <n v="26574.880000000001"/>
    <n v="0"/>
    <n v="91"/>
    <x v="0"/>
  </r>
  <r>
    <s v="invoices_2026-05.csv"/>
    <s v="INV-202605-0010"/>
    <s v="C013"/>
    <d v="2026-05-02T00:00:00"/>
    <d v="2026-07-01T00:00:00"/>
    <n v="223127.7"/>
    <s v="Nusrat Jahan"/>
    <n v="223127.7"/>
    <n v="0"/>
    <n v="61"/>
    <x v="0"/>
  </r>
  <r>
    <s v="invoices_2026-05.csv"/>
    <s v="INV-202605-0031"/>
    <s v="C004"/>
    <d v="2026-05-04T00:00:00"/>
    <d v="2026-06-18T00:00:00"/>
    <n v="573914.59"/>
    <s v="Nusrat Jahan"/>
    <n v="573914.59"/>
    <n v="0"/>
    <n v="74"/>
    <x v="0"/>
  </r>
  <r>
    <s v="invoices_2026-05.csv"/>
    <s v="INV-202605-0066"/>
    <s v="C040"/>
    <d v="2026-05-07T00:00:00"/>
    <d v="2026-07-06T00:00:00"/>
    <n v="360816.52"/>
    <s v="Nusrat Jahan"/>
    <n v="360816.52"/>
    <n v="0"/>
    <n v="56"/>
    <x v="0"/>
  </r>
  <r>
    <s v="invoices_2026-05.csv"/>
    <s v="INV-202605-0113"/>
    <s v="C029"/>
    <d v="2026-05-13T00:00:00"/>
    <d v="2026-06-12T00:00:00"/>
    <n v="369787.78"/>
    <s v="Farzana Akter"/>
    <n v="369787.78"/>
    <n v="0"/>
    <n v="80"/>
    <x v="0"/>
  </r>
  <r>
    <s v="invoices_2026-05.csv"/>
    <s v="INV-202605-0013"/>
    <s v="C020"/>
    <d v="2026-05-02T00:00:00"/>
    <d v="2026-07-01T00:00:00"/>
    <n v="66351.39"/>
    <s v="Nusrat Jahan"/>
    <n v="66351.39"/>
    <n v="0"/>
    <n v="61"/>
    <x v="0"/>
  </r>
  <r>
    <s v="invoices_2026-05.csv"/>
    <s v="INV-202605-0173"/>
    <s v="C004"/>
    <d v="2026-05-18T00:00:00"/>
    <d v="2026-07-02T00:00:00"/>
    <n v="191840.4"/>
    <s v="Nusrat Jahan"/>
    <n v="302335.93"/>
    <n v="-110495.53"/>
    <n v="60"/>
    <x v="0"/>
  </r>
  <r>
    <s v="invoices_2026-05.csv"/>
    <s v="INV-202605-0170"/>
    <s v="C041"/>
    <d v="2026-05-18T00:00:00"/>
    <d v="2026-06-17T00:00:00"/>
    <n v="25528.31"/>
    <s v="Tanvir Ahmed"/>
    <n v="25528.31"/>
    <n v="0"/>
    <n v="75"/>
    <x v="0"/>
  </r>
  <r>
    <s v="invoices_2026-05.csv"/>
    <s v="INV-202605-0212"/>
    <s v="C022"/>
    <d v="2026-05-24T00:00:00"/>
    <d v="2026-06-08T00:00:00"/>
    <n v="13505.42"/>
    <s v="Mahbub Alam"/>
    <n v="13505.42"/>
    <n v="0"/>
    <n v="84"/>
    <x v="0"/>
  </r>
  <r>
    <s v="invoices_2026-05.csv"/>
    <s v="INV-202605-0244"/>
    <s v="C046"/>
    <d v="2026-05-27T00:00:00"/>
    <d v="2026-06-26T00:00:00"/>
    <n v="141860.72"/>
    <s v="Mahbub Alam"/>
    <n v="141860.72"/>
    <n v="0"/>
    <n v="66"/>
    <x v="0"/>
  </r>
  <r>
    <s v="invoices_2026-05.csv"/>
    <s v="INV-202605-0245"/>
    <s v="C010"/>
    <d v="2026-05-27T00:00:00"/>
    <d v="2026-06-11T00:00:00"/>
    <n v="35377"/>
    <s v="Imran Hossain"/>
    <n v="35377"/>
    <n v="0"/>
    <n v="81"/>
    <x v="0"/>
  </r>
  <r>
    <s v="invoices_2026-05.csv"/>
    <s v="INV-202605-0020"/>
    <s v="C020"/>
    <d v="2026-05-03T00:00:00"/>
    <d v="2026-07-02T00:00:00"/>
    <n v="235026.79"/>
    <s v="Nusrat Jahan"/>
    <n v="235026.79"/>
    <n v="0"/>
    <n v="60"/>
    <x v="0"/>
  </r>
  <r>
    <s v="invoices_2026-05.csv"/>
    <s v="INV-202605-0270"/>
    <s v="C017"/>
    <d v="2026-05-30T00:00:00"/>
    <d v="2026-06-14T00:00:00"/>
    <n v="16275.39"/>
    <s v="Tanvir Ahmed"/>
    <n v="16275.39"/>
    <n v="0"/>
    <n v="78"/>
    <x v="0"/>
  </r>
  <r>
    <s v="invoices_2026-05.csv"/>
    <s v="INV-202605-0160"/>
    <s v="C031"/>
    <d v="2026-05-17T00:00:00"/>
    <d v="2026-06-16T00:00:00"/>
    <n v="322563.78999999998"/>
    <s v="Tanvir Ahmed"/>
    <n v="322563.78999999998"/>
    <n v="0"/>
    <n v="76"/>
    <x v="0"/>
  </r>
  <r>
    <s v="invoices_2026-05.csv"/>
    <s v="INV-202605-0024"/>
    <s v="C020"/>
    <d v="2026-05-03T00:00:00"/>
    <d v="2026-07-02T00:00:00"/>
    <n v="203171.98"/>
    <s v="Nusrat Jahan"/>
    <n v="203171.98"/>
    <n v="0"/>
    <n v="60"/>
    <x v="0"/>
  </r>
  <r>
    <s v="invoices_2026-05.csv"/>
    <s v="INV-202605-0167"/>
    <s v="C009"/>
    <d v="2026-05-18T00:00:00"/>
    <d v="2026-07-02T00:00:00"/>
    <n v="514559.58"/>
    <s v="Farzana Akter"/>
    <n v="514559.58"/>
    <n v="0"/>
    <n v="60"/>
    <x v="0"/>
  </r>
  <r>
    <s v="invoices_2026-05.csv"/>
    <s v="INV-202605-0175"/>
    <s v="C007"/>
    <d v="2026-05-19T00:00:00"/>
    <d v="2026-06-18T00:00:00"/>
    <n v="155186.15"/>
    <s v="Mahbub Alam"/>
    <n v="155186.15"/>
    <n v="0"/>
    <n v="74"/>
    <x v="0"/>
  </r>
  <r>
    <s v="invoices_2026-05.csv"/>
    <s v="INV-202605-0193"/>
    <s v="C014"/>
    <d v="2026-05-21T00:00:00"/>
    <d v="2026-07-20T00:00:00"/>
    <n v="248734.52"/>
    <s v="Nusrat Jahan"/>
    <n v="248734.52"/>
    <n v="0"/>
    <n v="42"/>
    <x v="0"/>
  </r>
  <r>
    <s v="invoices_2026-05.csv"/>
    <s v="INV-202605-0027"/>
    <s v="C030"/>
    <d v="2026-05-04T00:00:00"/>
    <d v="2026-06-03T00:00:00"/>
    <n v="21137.89"/>
    <s v="Tanvir Ahmed"/>
    <n v="21137.89"/>
    <n v="0"/>
    <n v="89"/>
    <x v="0"/>
  </r>
  <r>
    <s v="invoices_2026-05.csv"/>
    <s v="INV-202605-0234"/>
    <s v="C022"/>
    <d v="2026-05-26T00:00:00"/>
    <d v="2026-06-10T00:00:00"/>
    <n v="26462.21"/>
    <s v="Mahbub Alam"/>
    <n v="26462.21"/>
    <n v="0"/>
    <n v="82"/>
    <x v="0"/>
  </r>
  <r>
    <s v="invoices_2026-05.csv"/>
    <s v="INV-202605-0029"/>
    <s v="C012"/>
    <d v="2026-05-04T00:00:00"/>
    <d v="2026-06-03T00:00:00"/>
    <n v="91130.18"/>
    <s v="Shirin Sultana"/>
    <m/>
    <n v="91130.18"/>
    <n v="89"/>
    <x v="2"/>
  </r>
  <r>
    <s v="invoices_2026-05.csv"/>
    <s v="INV-202605-0187"/>
    <s v="C009"/>
    <d v="2026-05-20T00:00:00"/>
    <d v="2026-07-04T00:00:00"/>
    <n v="723269.46"/>
    <s v="Farzana Akter"/>
    <n v="723269.46"/>
    <n v="0"/>
    <n v="58"/>
    <x v="0"/>
  </r>
  <r>
    <s v="invoices_2026-05.csv"/>
    <s v="INV-202605-0190"/>
    <s v="C007"/>
    <d v="2026-05-21T00:00:00"/>
    <d v="2026-06-20T00:00:00"/>
    <n v="154998.49"/>
    <s v="Mahbub Alam"/>
    <n v="154998.49"/>
    <n v="0"/>
    <n v="72"/>
    <x v="0"/>
  </r>
  <r>
    <s v="invoices_2026-05.csv"/>
    <s v="INV-202605-0032"/>
    <s v="C046"/>
    <d v="2026-05-04T00:00:00"/>
    <d v="2026-06-03T00:00:00"/>
    <n v="177843.53"/>
    <s v="Mahbub Alam"/>
    <n v="177843.53"/>
    <n v="0"/>
    <n v="89"/>
    <x v="0"/>
  </r>
  <r>
    <s v="invoices_2026-05.csv"/>
    <s v="INV-202605-0198"/>
    <s v="C007"/>
    <d v="2026-05-21T00:00:00"/>
    <d v="2026-06-20T00:00:00"/>
    <n v="211622.69"/>
    <s v="Mahbub Alam"/>
    <n v="211622.69"/>
    <n v="0"/>
    <n v="72"/>
    <x v="0"/>
  </r>
  <r>
    <s v="invoices_2026-05.csv"/>
    <s v="INV-202605-0033"/>
    <s v="C046"/>
    <d v="2026-05-04T00:00:00"/>
    <d v="2026-06-03T00:00:00"/>
    <n v="36858.65"/>
    <s v="Mahbub Alam"/>
    <n v="36858.65"/>
    <n v="0"/>
    <n v="89"/>
    <x v="0"/>
  </r>
  <r>
    <s v="invoices_2026-05.csv"/>
    <s v="INV-202605-0251"/>
    <s v="C010"/>
    <d v="2026-05-28T00:00:00"/>
    <d v="2026-06-12T00:00:00"/>
    <n v="37979.32"/>
    <s v="Imran Hossain"/>
    <n v="37979.32"/>
    <n v="0"/>
    <n v="80"/>
    <x v="0"/>
  </r>
  <r>
    <s v="invoices_2026-05.csv"/>
    <s v="INV-202605-0034"/>
    <s v="C044"/>
    <d v="2026-05-04T00:00:00"/>
    <d v="2026-06-03T00:00:00"/>
    <n v="1104022.49"/>
    <s v="Mahbub Alam"/>
    <n v="1104022.49"/>
    <n v="0"/>
    <n v="89"/>
    <x v="0"/>
  </r>
  <r>
    <s v="invoices_2026-05.csv"/>
    <s v="INV-202605-0035"/>
    <s v="C013"/>
    <d v="2026-05-04T00:00:00"/>
    <d v="2026-07-03T00:00:00"/>
    <n v="347472.81"/>
    <s v="Nusrat Jahan"/>
    <n v="347472.81"/>
    <n v="0"/>
    <n v="59"/>
    <x v="0"/>
  </r>
  <r>
    <s v="invoices_2026-05.csv"/>
    <s v="INV-202605-0036"/>
    <s v="C040"/>
    <d v="2026-05-04T00:00:00"/>
    <d v="2026-07-03T00:00:00"/>
    <n v="48728.2"/>
    <s v="Nusrat Jahan"/>
    <n v="48728.2"/>
    <n v="0"/>
    <n v="59"/>
    <x v="0"/>
  </r>
  <r>
    <s v="invoices_2026-05.csv"/>
    <s v="INV-202605-0083"/>
    <s v="C009"/>
    <d v="2026-05-10T00:00:00"/>
    <d v="2026-06-24T00:00:00"/>
    <n v="538237.46"/>
    <s v="Farzana Akter"/>
    <n v="538237.46"/>
    <n v="0"/>
    <n v="68"/>
    <x v="0"/>
  </r>
  <r>
    <s v="invoices_2026-05.csv"/>
    <s v="INV-202605-0162"/>
    <s v="C007"/>
    <d v="2026-05-18T00:00:00"/>
    <d v="2026-06-17T00:00:00"/>
    <n v="517006.79"/>
    <s v="Mahbub Alam"/>
    <n v="517006.79"/>
    <n v="0"/>
    <n v="75"/>
    <x v="0"/>
  </r>
  <r>
    <s v="invoices_2026-05.csv"/>
    <s v="INV-202605-0297"/>
    <s v="C010"/>
    <d v="2026-05-31T00:00:00"/>
    <d v="2026-06-15T00:00:00"/>
    <n v="6057.69"/>
    <s v="Imran Hossain"/>
    <n v="6057.69"/>
    <n v="0"/>
    <n v="77"/>
    <x v="0"/>
  </r>
  <r>
    <s v="invoices_2026-05.csv"/>
    <s v="INV-202605-0040"/>
    <s v="C015"/>
    <d v="2026-05-05T00:00:00"/>
    <d v="2026-06-04T00:00:00"/>
    <n v="189364.13"/>
    <s v="Nusrat Jahan"/>
    <n v="63191.59"/>
    <n v="126172.54"/>
    <n v="88"/>
    <x v="2"/>
  </r>
  <r>
    <s v="invoices_2026-05.csv"/>
    <s v="INV-202605-0042"/>
    <s v="C009"/>
    <d v="2026-05-05T00:00:00"/>
    <d v="2026-06-19T00:00:00"/>
    <n v="376336.97"/>
    <s v="Farzana Akter"/>
    <n v="376336.97"/>
    <n v="0"/>
    <n v="73"/>
    <x v="0"/>
  </r>
  <r>
    <s v="invoices_2026-05.csv"/>
    <s v="INV-202605-0084"/>
    <s v="C050"/>
    <d v="2026-05-10T00:00:00"/>
    <d v="2026-05-25T00:00:00"/>
    <n v="60904.12"/>
    <s v="Nusrat Jahan"/>
    <n v="60904.119999999995"/>
    <n v="0"/>
    <n v="98"/>
    <x v="0"/>
  </r>
  <r>
    <s v="invoices_2026-05.csv"/>
    <s v="INV-202605-0043"/>
    <s v="C026"/>
    <d v="2026-05-05T00:00:00"/>
    <d v="2026-06-04T00:00:00"/>
    <n v="1721375.77"/>
    <s v="Nusrat Jahan"/>
    <n v="752967.43"/>
    <n v="968408.34"/>
    <n v="88"/>
    <x v="2"/>
  </r>
  <r>
    <s v="invoices_2026-05.csv"/>
    <s v="INV-202605-0147"/>
    <s v="C021"/>
    <d v="2026-05-16T00:00:00"/>
    <d v="2026-06-15T00:00:00"/>
    <n v="171740.68"/>
    <s v="Mahbub Alam"/>
    <n v="171740.68"/>
    <n v="0"/>
    <n v="77"/>
    <x v="0"/>
  </r>
  <r>
    <s v="invoices_2026-05.csv"/>
    <s v="INV-202605-0046"/>
    <s v="C020"/>
    <d v="2026-05-05T00:00:00"/>
    <d v="2026-07-04T00:00:00"/>
    <n v="74765.56"/>
    <s v="Nusrat Jahan"/>
    <n v="74765.56"/>
    <n v="0"/>
    <n v="58"/>
    <x v="0"/>
  </r>
  <r>
    <s v="invoices_2026-05.csv"/>
    <s v="INV-202605-0063"/>
    <s v="C008"/>
    <d v="2026-05-07T00:00:00"/>
    <d v="2026-06-21T00:00:00"/>
    <n v="423363.86"/>
    <s v="Shirin Sultana"/>
    <n v="423363.86"/>
    <n v="0"/>
    <n v="71"/>
    <x v="0"/>
  </r>
  <r>
    <s v="invoices_2026-05.csv"/>
    <s v="INV-202605-0191"/>
    <s v="C018"/>
    <d v="2026-05-21T00:00:00"/>
    <d v="2026-06-20T00:00:00"/>
    <n v="481903"/>
    <s v="Shirin Sultana"/>
    <n v="481903"/>
    <n v="0"/>
    <n v="72"/>
    <x v="0"/>
  </r>
  <r>
    <s v="invoices_2026-05.csv"/>
    <s v="INV-202605-0049"/>
    <s v="C010"/>
    <d v="2026-05-06T00:00:00"/>
    <d v="2026-05-21T00:00:00"/>
    <n v="35491.53"/>
    <s v="Imran Hossain"/>
    <n v="35491.53"/>
    <n v="0"/>
    <n v="102"/>
    <x v="0"/>
  </r>
  <r>
    <s v="invoices_2026-05.csv"/>
    <s v="INV-202605-0205"/>
    <s v="C015"/>
    <d v="2026-05-22T00:00:00"/>
    <d v="2026-06-21T00:00:00"/>
    <n v="55275.25"/>
    <s v="Nusrat Jahan"/>
    <n v="55275.25"/>
    <n v="0"/>
    <n v="71"/>
    <x v="0"/>
  </r>
  <r>
    <s v="invoices_2026-05.csv"/>
    <s v="INV-202605-0050"/>
    <s v="C023"/>
    <d v="2026-05-06T00:00:00"/>
    <d v="2026-06-05T00:00:00"/>
    <n v="66099.12"/>
    <s v="Nusrat Jahan"/>
    <n v="66099.12"/>
    <n v="0"/>
    <n v="87"/>
    <x v="0"/>
  </r>
  <r>
    <s v="invoices_2026-05.csv"/>
    <s v="INV-202605-0265"/>
    <s v="C009"/>
    <d v="2026-05-29T00:00:00"/>
    <d v="2026-07-13T00:00:00"/>
    <n v="366144.21"/>
    <s v="Farzana Akter"/>
    <n v="366144.21"/>
    <n v="0"/>
    <n v="49"/>
    <x v="0"/>
  </r>
  <r>
    <s v="invoices_2026-05.csv"/>
    <s v="INV-202605-0051"/>
    <s v="C005"/>
    <d v="2026-05-06T00:00:00"/>
    <d v="2026-06-05T00:00:00"/>
    <n v="158392.45000000001"/>
    <s v="Mahbub Alam"/>
    <n v="158392.45000000001"/>
    <n v="0"/>
    <n v="87"/>
    <x v="0"/>
  </r>
  <r>
    <s v="invoices_2026-06.csv"/>
    <s v="INV-202606-0014"/>
    <s v="C025"/>
    <d v="2026-06-02T00:00:00"/>
    <d v="2026-07-17T00:00:00"/>
    <n v="357640.18"/>
    <s v="Imran Hossain"/>
    <n v="357640.18"/>
    <n v="0"/>
    <n v="45"/>
    <x v="0"/>
  </r>
  <r>
    <s v="invoices_2026-05.csv"/>
    <s v="INV-202605-0052"/>
    <s v="C009"/>
    <d v="2026-05-06T00:00:00"/>
    <d v="2026-06-20T00:00:00"/>
    <n v="355619.88"/>
    <s v="Farzana Akter"/>
    <m/>
    <n v="355619.88"/>
    <n v="72"/>
    <x v="2"/>
  </r>
  <r>
    <s v="invoices_2026-06.csv"/>
    <s v="INV-202606-0025"/>
    <s v="C044"/>
    <d v="2026-06-03T00:00:00"/>
    <d v="2026-07-03T00:00:00"/>
    <n v="384808.61"/>
    <s v="Mahbub Alam"/>
    <n v="384808.61"/>
    <n v="0"/>
    <n v="59"/>
    <x v="0"/>
  </r>
  <r>
    <s v="invoices_2026-06.csv"/>
    <s v="INV-202606-0034"/>
    <s v="C024"/>
    <d v="2026-06-03T00:00:00"/>
    <d v="2026-07-03T00:00:00"/>
    <n v="98726.41"/>
    <s v="Farzana Akter"/>
    <n v="98726.41"/>
    <n v="0"/>
    <n v="59"/>
    <x v="0"/>
  </r>
  <r>
    <s v="invoices_2026-05.csv"/>
    <s v="INV-202605-0054"/>
    <s v="C033"/>
    <d v="2026-05-06T00:00:00"/>
    <d v="2026-06-05T00:00:00"/>
    <n v="34585.019999999997"/>
    <s v="Nusrat Jahan"/>
    <n v="34585.019999999997"/>
    <n v="0"/>
    <n v="87"/>
    <x v="0"/>
  </r>
  <r>
    <s v="invoices_2026-05.csv"/>
    <s v="INV-202605-0055"/>
    <s v="C009"/>
    <d v="2026-05-06T00:00:00"/>
    <d v="2026-06-20T00:00:00"/>
    <n v="650061.49"/>
    <s v="Farzana Akter"/>
    <n v="650061.49"/>
    <n v="0"/>
    <n v="72"/>
    <x v="0"/>
  </r>
  <r>
    <s v="invoices_2026-05.csv"/>
    <s v="INV-202605-0219"/>
    <s v="C030"/>
    <d v="2026-05-25T00:00:00"/>
    <d v="2026-06-24T00:00:00"/>
    <n v="69765.63"/>
    <s v="Tanvir Ahmed"/>
    <n v="69765.63"/>
    <n v="0"/>
    <n v="68"/>
    <x v="0"/>
  </r>
  <r>
    <s v="invoices_2026-05.csv"/>
    <s v="INV-202605-0056"/>
    <s v="C008"/>
    <d v="2026-05-07T00:00:00"/>
    <d v="2026-06-21T00:00:00"/>
    <n v="32084.639999999999"/>
    <s v="Shirin Sultana"/>
    <n v="32084.639999999999"/>
    <n v="0"/>
    <n v="71"/>
    <x v="0"/>
  </r>
  <r>
    <s v="invoices_2026-05.csv"/>
    <s v="INV-202605-0057"/>
    <s v="C031"/>
    <d v="2026-05-07T00:00:00"/>
    <d v="2026-06-06T00:00:00"/>
    <n v="42541.84"/>
    <s v="Tanvir Ahmed"/>
    <n v="42541.84"/>
    <n v="0"/>
    <n v="86"/>
    <x v="0"/>
  </r>
  <r>
    <s v="invoices_2026-05.csv"/>
    <s v="INV-202605-0184"/>
    <s v="C037"/>
    <d v="2026-05-20T00:00:00"/>
    <d v="2026-06-04T00:00:00"/>
    <n v="61945.77"/>
    <s v="Tanvir Ahmed"/>
    <n v="61945.77"/>
    <n v="0"/>
    <n v="88"/>
    <x v="0"/>
  </r>
  <r>
    <s v="invoices_2026-05.csv"/>
    <s v="INV-202605-0059"/>
    <s v="C040"/>
    <d v="2026-05-07T00:00:00"/>
    <d v="2026-07-06T00:00:00"/>
    <n v="485159.01"/>
    <s v="Nusrat Jahan"/>
    <n v="397417.48"/>
    <n v="87741.53"/>
    <n v="56"/>
    <x v="3"/>
  </r>
  <r>
    <s v="invoices_2026-05.csv"/>
    <s v="INV-202605-0257"/>
    <s v="C009"/>
    <d v="2026-05-29T00:00:00"/>
    <d v="2026-07-13T00:00:00"/>
    <n v="2000000"/>
    <s v="Farzana Akter"/>
    <n v="2000000"/>
    <n v="0"/>
    <n v="49"/>
    <x v="0"/>
  </r>
  <r>
    <s v="invoices_2026-06.csv"/>
    <s v="INV-202606-0009"/>
    <s v="C010"/>
    <d v="2026-06-01T00:00:00"/>
    <d v="2026-06-16T00:00:00"/>
    <n v="70668.34"/>
    <s v="Imran Hossain"/>
    <n v="70668.34"/>
    <n v="0"/>
    <n v="76"/>
    <x v="0"/>
  </r>
  <r>
    <s v="invoices_2026-05.csv"/>
    <s v="INV-202605-0061"/>
    <s v="C037"/>
    <d v="2026-05-07T00:00:00"/>
    <d v="2026-05-22T00:00:00"/>
    <n v="65487.42"/>
    <s v="Tanvir Ahmed"/>
    <n v="65487.42"/>
    <n v="0"/>
    <n v="101"/>
    <x v="0"/>
  </r>
  <r>
    <s v="invoices_2026-05.csv"/>
    <s v="INV-202605-0090"/>
    <s v="C026"/>
    <d v="2026-05-11T00:00:00"/>
    <d v="2026-06-10T00:00:00"/>
    <n v="1951616.33"/>
    <s v="Nusrat Jahan"/>
    <n v="1951616.33"/>
    <n v="0"/>
    <n v="82"/>
    <x v="0"/>
  </r>
  <r>
    <s v="invoices_2026-05.csv"/>
    <s v="INV-202605-0101"/>
    <s v="C006"/>
    <d v="2026-05-12T00:00:00"/>
    <d v="2026-06-26T00:00:00"/>
    <n v="21386.95"/>
    <s v="Nusrat Jahan"/>
    <n v="21386.95"/>
    <n v="0"/>
    <n v="66"/>
    <x v="0"/>
  </r>
  <r>
    <s v="invoices_2026-05.csv"/>
    <s v="INV-202605-0130"/>
    <s v="C008"/>
    <d v="2026-05-14T00:00:00"/>
    <d v="2026-06-28T00:00:00"/>
    <n v="74545.5"/>
    <s v="Shirin Sultana"/>
    <n v="74545.5"/>
    <n v="0"/>
    <n v="64"/>
    <x v="0"/>
  </r>
  <r>
    <s v="invoices_2026-05.csv"/>
    <s v="INV-202605-0065"/>
    <s v="C026"/>
    <d v="2026-05-07T00:00:00"/>
    <d v="2026-06-06T00:00:00"/>
    <n v="244873.88"/>
    <s v="Nusrat Jahan"/>
    <n v="244873.88"/>
    <n v="0"/>
    <n v="86"/>
    <x v="0"/>
  </r>
  <r>
    <s v="invoices_2026-05.csv"/>
    <s v="INV-202605-0151"/>
    <s v="C044"/>
    <d v="2026-05-17T00:00:00"/>
    <d v="2026-06-16T00:00:00"/>
    <n v="176179.18"/>
    <s v="Mahbub Alam"/>
    <n v="176179.18"/>
    <n v="0"/>
    <n v="76"/>
    <x v="0"/>
  </r>
  <r>
    <s v="invoices_2026-05.csv"/>
    <s v="INV-202605-0168"/>
    <s v="C012"/>
    <d v="2026-05-18T00:00:00"/>
    <d v="2026-06-17T00:00:00"/>
    <n v="463034.48"/>
    <s v="Shirin Sultana"/>
    <n v="463034.48"/>
    <n v="0"/>
    <n v="75"/>
    <x v="0"/>
  </r>
  <r>
    <s v="invoices_2026-05.csv"/>
    <s v="INV-202605-0280"/>
    <s v="C016"/>
    <d v="2026-05-30T00:00:00"/>
    <d v="2026-06-29T00:00:00"/>
    <n v="32299.58"/>
    <s v="Shirin Sultana"/>
    <n v="32299.58"/>
    <n v="0"/>
    <n v="63"/>
    <x v="0"/>
  </r>
  <r>
    <s v="invoices_2026-05.csv"/>
    <s v="INV-202605-0068"/>
    <s v="C038"/>
    <d v="2026-05-08T00:00:00"/>
    <d v="2026-07-07T00:00:00"/>
    <n v="185212.83"/>
    <s v="Imran Hossain"/>
    <n v="185212.83"/>
    <n v="0"/>
    <n v="55"/>
    <x v="0"/>
  </r>
  <r>
    <s v="invoices_2026-05.csv"/>
    <s v="INV-202605-0284"/>
    <s v="C036"/>
    <d v="2026-05-31T00:00:00"/>
    <d v="2026-06-30T00:00:00"/>
    <n v="11381.85"/>
    <s v="Nusrat Jahan"/>
    <n v="11381.85"/>
    <n v="0"/>
    <n v="62"/>
    <x v="0"/>
  </r>
  <r>
    <s v="invoices_2026-06.csv"/>
    <s v="INV-202606-0023"/>
    <s v="C010"/>
    <d v="2026-06-03T00:00:00"/>
    <d v="2026-06-18T00:00:00"/>
    <n v="16966.86"/>
    <s v="Imran Hossain"/>
    <n v="16966.86"/>
    <n v="0"/>
    <n v="74"/>
    <x v="0"/>
  </r>
  <r>
    <s v="invoices_2026-06.csv"/>
    <s v="INV-202606-0112"/>
    <s v="C017"/>
    <d v="2026-06-11T00:00:00"/>
    <d v="2026-06-26T00:00:00"/>
    <n v="162476.17000000001"/>
    <s v="Tanvir Ahmed"/>
    <n v="91123.040000000008"/>
    <n v="71353.13"/>
    <n v="66"/>
    <x v="2"/>
  </r>
  <r>
    <s v="invoices_2026-06.csv"/>
    <s v="INV-202606-0114"/>
    <s v="C045"/>
    <d v="2026-06-11T00:00:00"/>
    <d v="2026-06-26T00:00:00"/>
    <n v="45983.12"/>
    <s v="Mahbub Alam"/>
    <n v="36723.67"/>
    <n v="9259.4500000000007"/>
    <n v="66"/>
    <x v="2"/>
  </r>
  <r>
    <s v="invoices_2026-06.csv"/>
    <s v="INV-202606-0126"/>
    <s v="C026"/>
    <d v="2026-06-13T00:00:00"/>
    <d v="2026-07-13T00:00:00"/>
    <n v="364899.62"/>
    <s v="Nusrat Jahan"/>
    <n v="364899.62"/>
    <n v="0"/>
    <n v="49"/>
    <x v="0"/>
  </r>
  <r>
    <s v="invoices_2026-05.csv"/>
    <s v="INV-202605-0073"/>
    <s v="C042"/>
    <d v="2026-05-09T00:00:00"/>
    <d v="2026-06-08T00:00:00"/>
    <n v="9441.89"/>
    <s v="Nusrat Jahan"/>
    <m/>
    <n v="9441.89"/>
    <n v="84"/>
    <x v="2"/>
  </r>
  <r>
    <s v="invoices_2026-06.csv"/>
    <s v="INV-202606-0142"/>
    <s v="C050"/>
    <d v="2026-06-15T00:00:00"/>
    <d v="2026-06-30T00:00:00"/>
    <n v="28196.42"/>
    <s v="Nusrat Jahan"/>
    <n v="22789.25"/>
    <n v="5407.17"/>
    <n v="62"/>
    <x v="2"/>
  </r>
  <r>
    <s v="invoices_2026-05.csv"/>
    <s v="INV-202605-0075"/>
    <s v="C033"/>
    <d v="2026-05-09T00:00:00"/>
    <d v="2026-06-08T00:00:00"/>
    <n v="262188.28000000003"/>
    <s v="Nusrat Jahan"/>
    <n v="262188.28000000003"/>
    <n v="0"/>
    <n v="84"/>
    <x v="0"/>
  </r>
  <r>
    <s v="invoices_2026-05.csv"/>
    <s v="INV-202605-0078"/>
    <s v="C013"/>
    <d v="2026-05-09T00:00:00"/>
    <d v="2026-07-08T00:00:00"/>
    <n v="130759.8"/>
    <s v="Nusrat Jahan"/>
    <n v="130759.8"/>
    <n v="0"/>
    <n v="54"/>
    <x v="0"/>
  </r>
  <r>
    <s v="invoices_2026-05.csv"/>
    <s v="INV-202605-0079"/>
    <s v="C016"/>
    <d v="2026-05-09T00:00:00"/>
    <d v="2026-06-08T00:00:00"/>
    <n v="72520.7"/>
    <s v="Shirin Sultana"/>
    <n v="72520.7"/>
    <n v="0"/>
    <n v="84"/>
    <x v="0"/>
  </r>
  <r>
    <s v="invoices_2026-05.csv"/>
    <s v="INV-202605-0196"/>
    <s v="C047"/>
    <d v="2026-05-21T00:00:00"/>
    <d v="2026-06-20T00:00:00"/>
    <n v="27601.71"/>
    <s v="Nusrat Jahan"/>
    <n v="27601.71"/>
    <n v="0"/>
    <n v="72"/>
    <x v="0"/>
  </r>
  <r>
    <s v="invoices_2026-05.csv"/>
    <s v="INV-202605-0222"/>
    <s v="C009"/>
    <d v="2026-05-25T00:00:00"/>
    <d v="2026-07-09T00:00:00"/>
    <n v="393521.8"/>
    <s v="Farzana Akter"/>
    <n v="393521.8"/>
    <n v="0"/>
    <n v="53"/>
    <x v="0"/>
  </r>
  <r>
    <s v="invoices_2026-05.csv"/>
    <s v="INV-202605-0081"/>
    <s v="C040"/>
    <d v="2026-05-10T00:00:00"/>
    <d v="2026-07-09T00:00:00"/>
    <n v="421004.92"/>
    <s v="Nusrat Jahan"/>
    <n v="421004.92"/>
    <n v="0"/>
    <n v="53"/>
    <x v="0"/>
  </r>
  <r>
    <s v="invoices_2026-05.csv"/>
    <s v="INV-202605-0082"/>
    <s v="C009"/>
    <d v="2026-05-10T00:00:00"/>
    <d v="2026-06-24T00:00:00"/>
    <n v="2000000"/>
    <s v="Farzana Akter"/>
    <n v="2000000"/>
    <n v="0"/>
    <n v="68"/>
    <x v="0"/>
  </r>
  <r>
    <s v="invoices_2026-05.csv"/>
    <s v="INV-202605-0203"/>
    <s v="C046"/>
    <d v="2026-05-22T00:00:00"/>
    <d v="2026-06-21T00:00:00"/>
    <n v="192468.53"/>
    <s v="Mahbub Alam"/>
    <n v="214527.84"/>
    <n v="-22059.31"/>
    <n v="71"/>
    <x v="0"/>
  </r>
  <r>
    <s v="invoices_2026-05.csv"/>
    <s v="INV-202605-0249"/>
    <s v="C026"/>
    <d v="2026-05-28T00:00:00"/>
    <d v="2026-06-27T00:00:00"/>
    <n v="414974.36"/>
    <s v="Nusrat Jahan"/>
    <n v="414974.36"/>
    <n v="0"/>
    <n v="65"/>
    <x v="0"/>
  </r>
  <r>
    <s v="invoices_2026-05.csv"/>
    <s v="INV-202605-0274"/>
    <s v="C036"/>
    <d v="2026-05-30T00:00:00"/>
    <d v="2026-06-29T00:00:00"/>
    <n v="19411.3"/>
    <s v="Nusrat Jahan"/>
    <n v="19411.3"/>
    <n v="0"/>
    <n v="63"/>
    <x v="0"/>
  </r>
  <r>
    <s v="invoices_2026-05.csv"/>
    <s v="INV-202605-0085"/>
    <s v="C038"/>
    <d v="2026-05-10T00:00:00"/>
    <d v="2026-07-09T00:00:00"/>
    <n v="87656.49"/>
    <s v="Imran Hossain"/>
    <n v="87656.49"/>
    <n v="0"/>
    <n v="53"/>
    <x v="0"/>
  </r>
  <r>
    <s v="invoices_2026-05.csv"/>
    <s v="INV-202605-0278"/>
    <s v="C007"/>
    <d v="2026-05-30T00:00:00"/>
    <d v="2026-06-29T00:00:00"/>
    <n v="1150048.8999999999"/>
    <s v="Mahbub Alam"/>
    <n v="1150048.8999999999"/>
    <n v="0"/>
    <n v="63"/>
    <x v="0"/>
  </r>
  <r>
    <s v="invoices_2026-06.csv"/>
    <s v="INV-202606-0037"/>
    <s v="C022"/>
    <d v="2026-06-04T00:00:00"/>
    <d v="2026-06-19T00:00:00"/>
    <n v="31952.76"/>
    <s v="Mahbub Alam"/>
    <n v="31952.76"/>
    <n v="0"/>
    <n v="73"/>
    <x v="0"/>
  </r>
  <r>
    <s v="invoices_2026-06.csv"/>
    <s v="INV-202606-0054"/>
    <s v="C022"/>
    <d v="2026-06-05T00:00:00"/>
    <d v="2026-06-20T00:00:00"/>
    <n v="22799.34"/>
    <s v="Mahbub Alam"/>
    <n v="22799.34"/>
    <n v="0"/>
    <n v="72"/>
    <x v="0"/>
  </r>
  <r>
    <s v="invoices_2026-06.csv"/>
    <s v="INV-202606-0098"/>
    <s v="C042"/>
    <d v="2026-06-10T00:00:00"/>
    <d v="2026-07-10T00:00:00"/>
    <n v="236969.68"/>
    <s v="Nusrat Jahan"/>
    <n v="236969.68"/>
    <n v="0"/>
    <n v="52"/>
    <x v="0"/>
  </r>
  <r>
    <s v="invoices_2026-05.csv"/>
    <s v="INV-202605-0089"/>
    <s v="C009"/>
    <d v="2026-05-11T00:00:00"/>
    <d v="2026-06-25T00:00:00"/>
    <n v="96112.26"/>
    <s v="Farzana Akter"/>
    <n v="96112.26"/>
    <n v="0"/>
    <n v="67"/>
    <x v="0"/>
  </r>
  <r>
    <s v="invoices_2026-05.csv"/>
    <s v="INV-202605-0092"/>
    <s v="C009"/>
    <d v="2026-05-11T00:00:00"/>
    <d v="2026-06-25T00:00:00"/>
    <n v="545048.31999999995"/>
    <s v="Farzana Akter"/>
    <n v="545048.31999999995"/>
    <n v="0"/>
    <n v="67"/>
    <x v="0"/>
  </r>
  <r>
    <s v="invoices_2026-05.csv"/>
    <s v="INV-202605-0093"/>
    <s v="C006"/>
    <d v="2026-05-11T00:00:00"/>
    <d v="2026-06-25T00:00:00"/>
    <n v="104383.45"/>
    <s v="Nusrat Jahan"/>
    <n v="68797.100000000006"/>
    <n v="35586.35"/>
    <n v="67"/>
    <x v="2"/>
  </r>
  <r>
    <s v="invoices_2026-05.csv"/>
    <s v="INV-202605-0207"/>
    <s v="C046"/>
    <d v="2026-05-23T00:00:00"/>
    <d v="2026-06-22T00:00:00"/>
    <n v="248265.55"/>
    <s v="Mahbub Alam"/>
    <n v="248265.55"/>
    <n v="0"/>
    <n v="70"/>
    <x v="0"/>
  </r>
  <r>
    <s v="invoices_2026-06.csv"/>
    <s v="INV-202606-0075"/>
    <s v="C047"/>
    <d v="2026-06-08T00:00:00"/>
    <d v="2026-07-08T00:00:00"/>
    <n v="62011.81"/>
    <s v="Nusrat Jahan"/>
    <n v="62011.81"/>
    <n v="0"/>
    <n v="54"/>
    <x v="0"/>
  </r>
  <r>
    <s v="invoices_2026-05.csv"/>
    <s v="INV-202605-0095"/>
    <s v="C046"/>
    <d v="2026-05-11T00:00:00"/>
    <d v="2026-06-10T00:00:00"/>
    <n v="350011.35"/>
    <s v="Mahbub Alam"/>
    <m/>
    <n v="350011.35"/>
    <n v="82"/>
    <x v="2"/>
  </r>
  <r>
    <s v="invoices_2026-06.csv"/>
    <s v="INV-202606-0113"/>
    <s v="C039"/>
    <d v="2026-06-11T00:00:00"/>
    <d v="2026-06-26T00:00:00"/>
    <n v="73398.320000000007"/>
    <s v="Mahbub Alam"/>
    <n v="73398.319999999992"/>
    <n v="0"/>
    <n v="66"/>
    <x v="0"/>
  </r>
  <r>
    <s v="invoices_2026-06.csv"/>
    <s v="INV-202606-0171"/>
    <s v="C036"/>
    <d v="2026-06-18T00:00:00"/>
    <d v="2026-07-18T00:00:00"/>
    <n v="67324.83"/>
    <s v="Nusrat Jahan"/>
    <n v="67324.829999999987"/>
    <n v="0"/>
    <n v="44"/>
    <x v="0"/>
  </r>
  <r>
    <s v="invoices_2026-05.csv"/>
    <s v="INV-202605-0097"/>
    <s v="C013"/>
    <d v="2026-05-12T00:00:00"/>
    <d v="2026-07-11T00:00:00"/>
    <n v="629125.32999999996"/>
    <s v="Nusrat Jahan"/>
    <n v="629125.32999999996"/>
    <n v="0"/>
    <n v="51"/>
    <x v="0"/>
  </r>
  <r>
    <s v="invoices_2026-05.csv"/>
    <s v="INV-202605-0098"/>
    <s v="C030"/>
    <d v="2026-05-12T00:00:00"/>
    <d v="2026-06-11T00:00:00"/>
    <n v="29053.65"/>
    <s v="Tanvir Ahmed"/>
    <n v="29053.65"/>
    <n v="0"/>
    <n v="81"/>
    <x v="0"/>
  </r>
  <r>
    <s v="invoices_2026-05.csv"/>
    <s v="INV-202605-0103"/>
    <s v="C026"/>
    <d v="2026-05-12T00:00:00"/>
    <d v="2026-06-11T00:00:00"/>
    <n v="400952.56"/>
    <s v="Nusrat Jahan"/>
    <n v="217081.93"/>
    <n v="183870.63"/>
    <n v="81"/>
    <x v="2"/>
  </r>
  <r>
    <s v="invoices_2026-05.csv"/>
    <s v="INV-202605-0099"/>
    <s v="C005"/>
    <d v="2026-05-12T00:00:00"/>
    <d v="2026-06-11T00:00:00"/>
    <n v="101149.25"/>
    <s v="Mahbub Alam"/>
    <n v="101149.25"/>
    <n v="0"/>
    <n v="81"/>
    <x v="0"/>
  </r>
  <r>
    <s v="invoices_2026-05.csv"/>
    <s v="INV-202605-0105"/>
    <s v="C009"/>
    <d v="2026-05-12T00:00:00"/>
    <d v="2026-06-26T00:00:00"/>
    <n v="367756.17"/>
    <s v="Farzana Akter"/>
    <n v="367756.17"/>
    <n v="0"/>
    <n v="66"/>
    <x v="0"/>
  </r>
  <r>
    <s v="invoices_2026-05.csv"/>
    <s v="INV-202605-0112"/>
    <s v="C009"/>
    <d v="2026-05-13T00:00:00"/>
    <d v="2026-06-27T00:00:00"/>
    <n v="441729.15"/>
    <s v="Farzana Akter"/>
    <n v="441729.15"/>
    <n v="0"/>
    <n v="65"/>
    <x v="0"/>
  </r>
  <r>
    <s v="invoices_2026-05.csv"/>
    <s v="INV-202605-0246"/>
    <s v="C038"/>
    <d v="2026-05-27T00:00:00"/>
    <d v="2026-07-26T00:00:00"/>
    <n v="127545.42"/>
    <s v="Imran Hossain"/>
    <n v="127545.42"/>
    <n v="0"/>
    <n v="36"/>
    <x v="0"/>
  </r>
  <r>
    <s v="invoices_2026-05.csv"/>
    <s v="INV-202605-0262"/>
    <s v="C021"/>
    <d v="2026-05-29T00:00:00"/>
    <d v="2026-06-28T00:00:00"/>
    <n v="629754.71"/>
    <s v="Mahbub Alam"/>
    <n v="629754.71"/>
    <n v="0"/>
    <n v="64"/>
    <x v="0"/>
  </r>
  <r>
    <s v="invoices_2026-05.csv"/>
    <s v="INV-202605-0300"/>
    <s v="C028"/>
    <d v="2026-05-31T00:00:00"/>
    <d v="2026-07-30T00:00:00"/>
    <n v="134861.24"/>
    <s v="Shirin Sultana"/>
    <n v="88403.66"/>
    <n v="46457.58"/>
    <n v="32"/>
    <x v="3"/>
  </r>
  <r>
    <s v="invoices_2026-06.csv"/>
    <s v="INV-202606-0028"/>
    <s v="C041"/>
    <d v="2026-06-03T00:00:00"/>
    <d v="2026-07-03T00:00:00"/>
    <n v="15743.8"/>
    <s v="Tanvir Ahmed"/>
    <n v="15743.8"/>
    <n v="0"/>
    <n v="59"/>
    <x v="0"/>
  </r>
  <r>
    <s v="invoices_2026-06.csv"/>
    <s v="INV-202606-0059"/>
    <s v="C017"/>
    <d v="2026-06-06T00:00:00"/>
    <d v="2026-06-21T00:00:00"/>
    <n v="25928.639999999999"/>
    <s v="Tanvir Ahmed"/>
    <n v="25928.639999999999"/>
    <n v="0"/>
    <n v="71"/>
    <x v="0"/>
  </r>
  <r>
    <s v="invoices_2026-06.csv"/>
    <s v="INV-202606-0069"/>
    <s v="C033"/>
    <d v="2026-06-07T00:00:00"/>
    <d v="2026-07-07T00:00:00"/>
    <n v="62714.21"/>
    <s v="Nusrat Jahan"/>
    <n v="62714.21"/>
    <n v="0"/>
    <n v="55"/>
    <x v="0"/>
  </r>
  <r>
    <s v="invoices_2026-05.csv"/>
    <s v="INV-202605-0109"/>
    <s v="C045"/>
    <d v="2026-05-12T00:00:00"/>
    <d v="2026-05-27T00:00:00"/>
    <n v="51534.36"/>
    <s v="Mahbub Alam"/>
    <n v="51534.36"/>
    <n v="0"/>
    <n v="96"/>
    <x v="0"/>
  </r>
  <r>
    <s v="invoices_2026-05.csv"/>
    <s v="INV-202605-0110"/>
    <s v="C009"/>
    <d v="2026-05-13T00:00:00"/>
    <d v="2026-06-27T00:00:00"/>
    <n v="548878.47"/>
    <s v="Farzana Akter"/>
    <n v="548878.47"/>
    <n v="0"/>
    <n v="65"/>
    <x v="0"/>
  </r>
  <r>
    <s v="invoices_2026-05.csv"/>
    <s v="INV-202605-0192"/>
    <s v="C035"/>
    <d v="2026-05-21T00:00:00"/>
    <d v="2026-07-05T00:00:00"/>
    <n v="693618.24"/>
    <s v="Farzana Akter"/>
    <n v="693618.24"/>
    <n v="0"/>
    <n v="57"/>
    <x v="0"/>
  </r>
  <r>
    <s v="invoices_2026-05.csv"/>
    <s v="INV-202605-0283"/>
    <s v="C007"/>
    <d v="2026-05-30T00:00:00"/>
    <d v="2026-06-29T00:00:00"/>
    <n v="1014618.66"/>
    <s v="Mahbub Alam"/>
    <n v="1014618.66"/>
    <n v="0"/>
    <n v="63"/>
    <x v="0"/>
  </r>
  <r>
    <s v="invoices_2026-05.csv"/>
    <s v="INV-202605-0114"/>
    <s v="C031"/>
    <d v="2026-05-13T00:00:00"/>
    <d v="2026-06-12T00:00:00"/>
    <n v="73227.23"/>
    <s v="Tanvir Ahmed"/>
    <n v="73227.23"/>
    <n v="0"/>
    <n v="80"/>
    <x v="0"/>
  </r>
  <r>
    <s v="invoices_2026-06.csv"/>
    <s v="INV-202606-0020"/>
    <s v="C033"/>
    <d v="2026-06-02T00:00:00"/>
    <d v="2026-07-02T00:00:00"/>
    <n v="43707.519999999997"/>
    <s v="Nusrat Jahan"/>
    <n v="43707.519999999997"/>
    <n v="0"/>
    <n v="60"/>
    <x v="0"/>
  </r>
  <r>
    <s v="invoices_2026-05.csv"/>
    <s v="INV-202605-0115"/>
    <s v="C045"/>
    <d v="2026-05-13T00:00:00"/>
    <d v="2026-05-28T00:00:00"/>
    <n v="31970.91"/>
    <s v="Mahbub Alam"/>
    <n v="31970.91"/>
    <n v="0"/>
    <n v="95"/>
    <x v="0"/>
  </r>
  <r>
    <s v="invoices_2026-06.csv"/>
    <s v="INV-202606-0044"/>
    <s v="C015"/>
    <d v="2026-06-04T00:00:00"/>
    <d v="2026-07-04T00:00:00"/>
    <n v="42357.94"/>
    <s v="Nusrat Jahan"/>
    <n v="42357.94"/>
    <n v="0"/>
    <n v="58"/>
    <x v="0"/>
  </r>
  <r>
    <s v="invoices_2026-06.csv"/>
    <s v="INV-202606-0067"/>
    <s v="C017"/>
    <d v="2026-06-06T00:00:00"/>
    <d v="2026-06-21T00:00:00"/>
    <n v="52923.07"/>
    <s v="Tanvir Ahmed"/>
    <n v="52923.07"/>
    <n v="0"/>
    <n v="71"/>
    <x v="0"/>
  </r>
  <r>
    <s v="invoices_2026-05.csv"/>
    <s v="INV-202605-0117"/>
    <s v="C041"/>
    <d v="2026-05-13T00:00:00"/>
    <d v="2026-06-12T00:00:00"/>
    <n v="19249.23"/>
    <s v="Tanvir Ahmed"/>
    <m/>
    <n v="19249.23"/>
    <n v="80"/>
    <x v="2"/>
  </r>
  <r>
    <s v="invoices_2026-06.csv"/>
    <s v="INV-202606-0099"/>
    <s v="C045"/>
    <d v="2026-06-10T00:00:00"/>
    <d v="2026-06-25T00:00:00"/>
    <n v="61381.15"/>
    <s v="Mahbub Alam"/>
    <n v="61381.15"/>
    <n v="0"/>
    <n v="67"/>
    <x v="0"/>
  </r>
  <r>
    <s v="invoices_2026-05.csv"/>
    <s v="INV-202605-0120"/>
    <s v="C021"/>
    <d v="2026-05-13T00:00:00"/>
    <d v="2026-06-12T00:00:00"/>
    <n v="254570.1"/>
    <s v="Mahbub Alam"/>
    <n v="254570.1"/>
    <n v="0"/>
    <n v="80"/>
    <x v="0"/>
  </r>
  <r>
    <s v="invoices_2026-05.csv"/>
    <s v="INV-202605-0134"/>
    <s v="C032"/>
    <d v="2026-05-15T00:00:00"/>
    <d v="2026-06-29T00:00:00"/>
    <n v="233623.98"/>
    <s v="Shirin Sultana"/>
    <n v="233623.98"/>
    <n v="0"/>
    <n v="63"/>
    <x v="0"/>
  </r>
  <r>
    <s v="invoices_2026-05.csv"/>
    <s v="INV-202605-0121"/>
    <s v="C011"/>
    <d v="2026-05-14T00:00:00"/>
    <d v="2026-07-13T00:00:00"/>
    <n v="158685.23000000001"/>
    <s v="Imran Hossain"/>
    <n v="158685.23000000001"/>
    <n v="0"/>
    <n v="49"/>
    <x v="0"/>
  </r>
  <r>
    <s v="invoices_2026-05.csv"/>
    <s v="INV-202605-0180"/>
    <s v="C006"/>
    <d v="2026-05-19T00:00:00"/>
    <d v="2026-07-03T00:00:00"/>
    <n v="280496.21000000002"/>
    <s v="Nusrat Jahan"/>
    <n v="280496.21000000002"/>
    <n v="0"/>
    <n v="59"/>
    <x v="0"/>
  </r>
  <r>
    <s v="invoices_2026-05.csv"/>
    <s v="INV-202605-0122"/>
    <s v="C040"/>
    <d v="2026-05-14T00:00:00"/>
    <d v="2026-07-13T00:00:00"/>
    <n v="304742.81"/>
    <s v="Nusrat Jahan"/>
    <n v="304742.81"/>
    <n v="0"/>
    <n v="49"/>
    <x v="0"/>
  </r>
  <r>
    <s v="invoices_2026-05.csv"/>
    <s v="INV-202605-0181"/>
    <s v="C046"/>
    <d v="2026-05-19T00:00:00"/>
    <d v="2026-06-18T00:00:00"/>
    <n v="62629.440000000002"/>
    <s v="Mahbub Alam"/>
    <n v="62629.440000000002"/>
    <n v="0"/>
    <n v="74"/>
    <x v="0"/>
  </r>
  <r>
    <s v="invoices_2026-05.csv"/>
    <s v="INV-202605-0123"/>
    <s v="C038"/>
    <d v="2026-05-14T00:00:00"/>
    <d v="2026-07-13T00:00:00"/>
    <n v="153163.4"/>
    <s v="Imran Hossain"/>
    <n v="153163.4"/>
    <n v="0"/>
    <n v="49"/>
    <x v="0"/>
  </r>
  <r>
    <s v="invoices_2026-05.csv"/>
    <s v="INV-202605-0233"/>
    <s v="C032"/>
    <d v="2026-05-26T00:00:00"/>
    <d v="2026-07-10T00:00:00"/>
    <n v="1061018.58"/>
    <s v="Shirin Sultana"/>
    <n v="1061018.58"/>
    <n v="0"/>
    <n v="52"/>
    <x v="0"/>
  </r>
  <r>
    <s v="invoices_2026-05.csv"/>
    <s v="INV-202605-0124"/>
    <s v="C022"/>
    <d v="2026-05-14T00:00:00"/>
    <d v="2026-05-29T00:00:00"/>
    <n v="73758.95"/>
    <s v="Mahbub Alam"/>
    <m/>
    <n v="73758.95"/>
    <n v="94"/>
    <x v="1"/>
  </r>
  <r>
    <s v="invoices_2026-05.csv"/>
    <s v="INV-202605-0247"/>
    <s v="C035"/>
    <d v="2026-05-28T00:00:00"/>
    <d v="2026-07-12T00:00:00"/>
    <n v="205074.12"/>
    <s v="Farzana Akter"/>
    <n v="205074.12"/>
    <n v="0"/>
    <n v="50"/>
    <x v="0"/>
  </r>
  <r>
    <s v="invoices_2026-05.csv"/>
    <s v="INV-202605-0125"/>
    <s v="C030"/>
    <d v="2026-05-14T00:00:00"/>
    <d v="2026-06-13T00:00:00"/>
    <n v="80048.259999999995"/>
    <s v="Tanvir Ahmed"/>
    <m/>
    <n v="80048.259999999995"/>
    <n v="79"/>
    <x v="2"/>
  </r>
  <r>
    <s v="invoices_2026-05.csv"/>
    <s v="INV-202605-0281"/>
    <s v="C046"/>
    <d v="2026-05-30T00:00:00"/>
    <d v="2026-06-29T00:00:00"/>
    <n v="265875.95"/>
    <s v="Mahbub Alam"/>
    <n v="265875.95"/>
    <n v="0"/>
    <n v="63"/>
    <x v="0"/>
  </r>
  <r>
    <s v="invoices_2026-06.csv"/>
    <s v="INV-202606-0002"/>
    <s v="C024"/>
    <d v="2026-06-01T00:00:00"/>
    <d v="2026-07-01T00:00:00"/>
    <n v="226596.1"/>
    <s v="Farzana Akter"/>
    <n v="226596.1"/>
    <n v="0"/>
    <n v="61"/>
    <x v="0"/>
  </r>
  <r>
    <s v="invoices_2026-05.csv"/>
    <s v="INV-202605-0127"/>
    <s v="C007"/>
    <d v="2026-05-14T00:00:00"/>
    <d v="2026-06-13T00:00:00"/>
    <n v="68199.31"/>
    <s v="Mahbub Alam"/>
    <n v="68199.31"/>
    <n v="0"/>
    <n v="79"/>
    <x v="0"/>
  </r>
  <r>
    <s v="invoices_2026-06.csv"/>
    <s v="INV-202606-0019"/>
    <s v="C041"/>
    <d v="2026-06-02T00:00:00"/>
    <d v="2026-07-02T00:00:00"/>
    <n v="5017.12"/>
    <s v="Tanvir Ahmed"/>
    <n v="5017.12"/>
    <n v="0"/>
    <n v="60"/>
    <x v="0"/>
  </r>
  <r>
    <s v="invoices_2026-05.csv"/>
    <s v="INV-202605-0128"/>
    <s v="C028"/>
    <d v="2026-05-14T00:00:00"/>
    <d v="2026-07-13T00:00:00"/>
    <n v="1646635.62"/>
    <s v="Shirin Sultana"/>
    <n v="1646635.62"/>
    <n v="0"/>
    <n v="49"/>
    <x v="0"/>
  </r>
  <r>
    <s v="invoices_2026-06.csv"/>
    <s v="INV-202606-0077"/>
    <s v="C010"/>
    <d v="2026-06-08T00:00:00"/>
    <d v="2026-06-23T00:00:00"/>
    <n v="6795.51"/>
    <s v="Imran Hossain"/>
    <n v="6795.51"/>
    <n v="0"/>
    <n v="69"/>
    <x v="0"/>
  </r>
  <r>
    <s v="invoices_2026-05.csv"/>
    <s v="INV-202605-0129"/>
    <s v="C008"/>
    <d v="2026-05-14T00:00:00"/>
    <d v="2026-06-28T00:00:00"/>
    <n v="484926.36"/>
    <s v="Shirin Sultana"/>
    <n v="484926.36"/>
    <n v="0"/>
    <n v="64"/>
    <x v="0"/>
  </r>
  <r>
    <s v="invoices_2026-06.csv"/>
    <s v="INV-202606-0106"/>
    <s v="C017"/>
    <d v="2026-06-11T00:00:00"/>
    <d v="2026-06-26T00:00:00"/>
    <n v="71936.479999999996"/>
    <s v="Tanvir Ahmed"/>
    <n v="71936.479999999996"/>
    <n v="0"/>
    <n v="66"/>
    <x v="0"/>
  </r>
  <r>
    <s v="invoices_2026-06.csv"/>
    <s v="INV-202606-0108"/>
    <s v="C006"/>
    <d v="2026-06-11T00:00:00"/>
    <d v="2026-07-26T00:00:00"/>
    <n v="40968.879999999997"/>
    <s v="Nusrat Jahan"/>
    <n v="40968.880000000005"/>
    <n v="-"/>
    <n v="36"/>
    <x v="0"/>
  </r>
  <r>
    <s v="invoices_2026-05.csv"/>
    <s v="INV-202605-0294"/>
    <s v="C008"/>
    <d v="2026-05-31T00:00:00"/>
    <d v="2026-07-15T00:00:00"/>
    <n v="804378.14"/>
    <s v="Shirin Sultana"/>
    <n v="804378.14"/>
    <n v="0"/>
    <n v="47"/>
    <x v="0"/>
  </r>
  <r>
    <s v="invoices_2026-06.csv"/>
    <s v="INV-202606-0003"/>
    <s v="C033"/>
    <d v="2026-06-01T00:00:00"/>
    <d v="2026-07-01T00:00:00"/>
    <n v="32175.37"/>
    <s v="Nusrat Jahan"/>
    <n v="32175.37"/>
    <n v="0"/>
    <n v="61"/>
    <x v="0"/>
  </r>
  <r>
    <s v="invoices_2026-05.csv"/>
    <s v="INV-202605-0141"/>
    <s v="C035"/>
    <d v="2026-05-16T00:00:00"/>
    <d v="2026-06-30T00:00:00"/>
    <n v="903112.74"/>
    <s v="Farzana Akter"/>
    <n v="903112.74"/>
    <n v="0"/>
    <n v="62"/>
    <x v="0"/>
  </r>
  <r>
    <s v="invoices_2026-05.csv"/>
    <s v="INV-202605-0154"/>
    <s v="C014"/>
    <d v="2026-05-17T00:00:00"/>
    <d v="2026-07-16T00:00:00"/>
    <n v="168201.88"/>
    <s v="Nusrat Jahan"/>
    <n v="168201.88"/>
    <n v="0"/>
    <n v="46"/>
    <x v="0"/>
  </r>
  <r>
    <s v="invoices_2026-05.csv"/>
    <s v="INV-202605-0136"/>
    <s v="C015"/>
    <d v="2026-05-15T00:00:00"/>
    <d v="2026-06-14T00:00:00"/>
    <n v="12941.32"/>
    <s v="Nusrat Jahan"/>
    <n v="5004.04"/>
    <n v="7937.28"/>
    <n v="78"/>
    <x v="2"/>
  </r>
  <r>
    <s v="invoices_2026-05.csv"/>
    <s v="INV-202605-0156"/>
    <s v="C013"/>
    <d v="2026-05-17T00:00:00"/>
    <d v="2026-07-16T00:00:00"/>
    <n v="231039.14"/>
    <s v="Nusrat Jahan"/>
    <n v="231039.14"/>
    <n v="0"/>
    <n v="46"/>
    <x v="0"/>
  </r>
  <r>
    <s v="invoices_2026-05.csv"/>
    <s v="INV-202605-0163"/>
    <s v="C035"/>
    <d v="2026-05-18T00:00:00"/>
    <d v="2026-07-02T00:00:00"/>
    <n v="177914.98"/>
    <s v="Farzana Akter"/>
    <n v="177914.98"/>
    <n v="0"/>
    <n v="60"/>
    <x v="0"/>
  </r>
  <r>
    <s v="invoices_2026-05.csv"/>
    <s v="INV-202605-0138"/>
    <s v="C039"/>
    <d v="2026-05-15T00:00:00"/>
    <d v="2026-05-30T00:00:00"/>
    <n v="42784.04"/>
    <s v="Mahbub Alam"/>
    <n v="42784.04"/>
    <n v="0"/>
    <n v="93"/>
    <x v="0"/>
  </r>
  <r>
    <s v="invoices_2026-05.csv"/>
    <s v="INV-202605-0178"/>
    <s v="C032"/>
    <d v="2026-05-19T00:00:00"/>
    <d v="2026-07-03T00:00:00"/>
    <n v="428875.04"/>
    <s v="Shirin Sultana"/>
    <n v="428875.04"/>
    <n v="0"/>
    <n v="59"/>
    <x v="0"/>
  </r>
  <r>
    <s v="invoices_2026-05.csv"/>
    <s v="INV-202605-0139"/>
    <s v="C035"/>
    <d v="2026-05-16T00:00:00"/>
    <d v="2026-06-30T00:00:00"/>
    <n v="550652.22"/>
    <s v="Farzana Akter"/>
    <n v="550652.22"/>
    <n v="0"/>
    <n v="62"/>
    <x v="0"/>
  </r>
  <r>
    <s v="invoices_2026-05.csv"/>
    <s v="INV-202605-0252"/>
    <s v="C046"/>
    <d v="2026-05-28T00:00:00"/>
    <d v="2026-06-27T00:00:00"/>
    <n v="65844.84"/>
    <s v="Mahbub Alam"/>
    <n v="65844.84"/>
    <n v="0"/>
    <n v="65"/>
    <x v="0"/>
  </r>
  <r>
    <s v="invoices_2026-05.csv"/>
    <s v="INV-202605-0140"/>
    <s v="C036"/>
    <d v="2026-05-16T00:00:00"/>
    <d v="2026-06-15T00:00:00"/>
    <n v="56085.31"/>
    <s v="Nusrat Jahan"/>
    <n v="56085.31"/>
    <n v="0"/>
    <n v="77"/>
    <x v="0"/>
  </r>
  <r>
    <s v="invoices_2026-05.csv"/>
    <s v="INV-202605-0268"/>
    <s v="C020"/>
    <d v="2026-05-29T00:00:00"/>
    <d v="2026-07-28T00:00:00"/>
    <n v="104785.76"/>
    <s v="Nusrat Jahan"/>
    <n v="104785.76"/>
    <n v="0"/>
    <n v="34"/>
    <x v="0"/>
  </r>
  <r>
    <s v="invoices_2026-06.csv"/>
    <s v="INV-202606-0013"/>
    <s v="C018"/>
    <d v="2026-06-02T00:00:00"/>
    <d v="2026-07-02T00:00:00"/>
    <n v="156706.29999999999"/>
    <s v="Shirin Sultana"/>
    <n v="156706.29999999999"/>
    <n v="0"/>
    <n v="60"/>
    <x v="0"/>
  </r>
  <r>
    <s v="invoices_2026-05.csv"/>
    <s v="INV-202605-0142"/>
    <s v="C002"/>
    <d v="2026-05-16T00:00:00"/>
    <d v="2026-06-30T00:00:00"/>
    <n v="169066.5"/>
    <s v="Tanvir Ahmed"/>
    <n v="48731.95"/>
    <n v="120334.55"/>
    <n v="62"/>
    <x v="2"/>
  </r>
  <r>
    <s v="invoices_2026-06.csv"/>
    <s v="INV-202606-0074"/>
    <s v="C003"/>
    <d v="2026-06-07T00:00:00"/>
    <d v="2026-07-07T00:00:00"/>
    <n v="116698.12"/>
    <s v="Mahbub Alam"/>
    <n v="116698.12"/>
    <n v="0"/>
    <n v="55"/>
    <x v="0"/>
  </r>
  <r>
    <s v="invoices_2026-05.csv"/>
    <s v="INV-202605-0143"/>
    <s v="C008"/>
    <d v="2026-05-16T00:00:00"/>
    <d v="2026-06-30T00:00:00"/>
    <n v="604913.81999999995"/>
    <s v="Shirin Sultana"/>
    <n v="604913.81999999995"/>
    <n v="0"/>
    <n v="62"/>
    <x v="0"/>
  </r>
  <r>
    <s v="invoices_2026-06.csv"/>
    <s v="INV-202606-0091"/>
    <s v="C007"/>
    <d v="2026-06-09T00:00:00"/>
    <d v="2026-07-09T00:00:00"/>
    <n v="202019.17"/>
    <s v="Mahbub Alam"/>
    <n v="202019.17"/>
    <n v="0"/>
    <n v="53"/>
    <x v="0"/>
  </r>
  <r>
    <s v="invoices_2026-05.csv"/>
    <s v="INV-202605-0144"/>
    <s v="C025"/>
    <d v="2026-05-16T00:00:00"/>
    <d v="2026-06-30T00:00:00"/>
    <n v="109441.88"/>
    <s v="Imran Hossain"/>
    <n v="109441.88"/>
    <n v="0"/>
    <n v="62"/>
    <x v="0"/>
  </r>
  <r>
    <s v="invoices_2026-05.csv"/>
    <s v="INV-202605-0145"/>
    <s v="C010"/>
    <d v="2026-05-16T00:00:00"/>
    <d v="2026-05-31T00:00:00"/>
    <n v="37148.06"/>
    <s v="Imran Hossain"/>
    <n v="16182.93"/>
    <n v="20965.13"/>
    <n v="92"/>
    <x v="1"/>
  </r>
  <r>
    <s v="invoices_2026-05.csv"/>
    <s v="INV-202605-0161"/>
    <s v="C009"/>
    <d v="2026-05-17T00:00:00"/>
    <d v="2026-07-01T00:00:00"/>
    <n v="265345.81"/>
    <s v="Farzana Akter"/>
    <n v="265345.81"/>
    <n v="0"/>
    <n v="61"/>
    <x v="0"/>
  </r>
  <r>
    <s v="invoices_2026-05.csv"/>
    <s v="INV-202605-0201"/>
    <s v="C008"/>
    <d v="2026-05-22T00:00:00"/>
    <d v="2026-07-06T00:00:00"/>
    <n v="285859.62"/>
    <s v="Shirin Sultana"/>
    <n v="285859.62"/>
    <n v="0"/>
    <n v="56"/>
    <x v="0"/>
  </r>
  <r>
    <s v="invoices_2026-05.csv"/>
    <s v="INV-202605-0148"/>
    <s v="C035"/>
    <d v="2026-05-16T00:00:00"/>
    <d v="2026-06-30T00:00:00"/>
    <n v="791622.05"/>
    <s v="Farzana Akter"/>
    <n v="531255.06999999995"/>
    <n v="260366.98"/>
    <n v="62"/>
    <x v="2"/>
  </r>
  <r>
    <s v="invoices_2026-05.csv"/>
    <s v="INV-202605-0255"/>
    <s v="C012"/>
    <d v="2026-05-28T00:00:00"/>
    <d v="2026-06-27T00:00:00"/>
    <n v="161582.82999999999"/>
    <s v="Shirin Sultana"/>
    <n v="161582.82999999999"/>
    <n v="0"/>
    <n v="65"/>
    <x v="0"/>
  </r>
  <r>
    <s v="invoices_2026-05.csv"/>
    <s v="INV-202605-0260"/>
    <s v="C014"/>
    <d v="2026-05-29T00:00:00"/>
    <d v="2026-07-28T00:00:00"/>
    <n v="50297.69"/>
    <s v="Nusrat Jahan"/>
    <n v="50297.69"/>
    <n v="0"/>
    <n v="34"/>
    <x v="0"/>
  </r>
  <r>
    <s v="invoices_2026-05.csv"/>
    <s v="INV-202605-0150"/>
    <s v="C022"/>
    <d v="2026-05-17T00:00:00"/>
    <d v="2026-06-01T00:00:00"/>
    <n v="36501.53"/>
    <s v="Mahbub Alam"/>
    <n v="36501.53"/>
    <n v="0"/>
    <n v="91"/>
    <x v="0"/>
  </r>
  <r>
    <s v="invoices_2026-05.csv"/>
    <s v="INV-202605-0290"/>
    <s v="C046"/>
    <d v="2026-05-31T00:00:00"/>
    <d v="2026-06-30T00:00:00"/>
    <n v="66426.899999999994"/>
    <s v="Mahbub Alam"/>
    <n v="66426.899999999994"/>
    <n v="0"/>
    <n v="62"/>
    <x v="0"/>
  </r>
  <r>
    <s v="invoices_2026-06.csv"/>
    <s v="INV-202606-0005"/>
    <s v="C007"/>
    <d v="2026-06-01T00:00:00"/>
    <d v="2026-07-01T00:00:00"/>
    <n v="244881.87"/>
    <s v="Mahbub Alam"/>
    <n v="244881.87"/>
    <n v="0"/>
    <n v="61"/>
    <x v="0"/>
  </r>
  <r>
    <s v="invoices_2026-06.csv"/>
    <s v="INV-202606-0011"/>
    <s v="C007"/>
    <d v="2026-06-02T00:00:00"/>
    <d v="2026-07-02T00:00:00"/>
    <n v="271670.45"/>
    <s v="Mahbub Alam"/>
    <n v="271670.45"/>
    <n v="0"/>
    <n v="60"/>
    <x v="0"/>
  </r>
  <r>
    <s v="invoices_2026-06.csv"/>
    <s v="INV-202606-0018"/>
    <s v="C030"/>
    <d v="2026-06-02T00:00:00"/>
    <d v="2026-07-02T00:00:00"/>
    <n v="50151.85"/>
    <s v="Tanvir Ahmed"/>
    <n v="50151.85"/>
    <n v="0"/>
    <n v="60"/>
    <x v="0"/>
  </r>
  <r>
    <s v="invoices_2026-06.csv"/>
    <s v="INV-202606-0027"/>
    <s v="C030"/>
    <d v="2026-06-03T00:00:00"/>
    <d v="2026-07-03T00:00:00"/>
    <n v="9631.1"/>
    <s v="Tanvir Ahmed"/>
    <n v="9631.1"/>
    <n v="0"/>
    <n v="59"/>
    <x v="0"/>
  </r>
  <r>
    <s v="invoices_2026-05.csv"/>
    <s v="INV-202605-0155"/>
    <s v="C042"/>
    <d v="2026-05-17T00:00:00"/>
    <d v="2026-06-16T00:00:00"/>
    <n v="284731.63"/>
    <s v="Nusrat Jahan"/>
    <m/>
    <n v="284731.63"/>
    <n v="76"/>
    <x v="2"/>
  </r>
  <r>
    <s v="invoices_2026-06.csv"/>
    <s v="INV-202606-0030"/>
    <s v="C046"/>
    <d v="2026-06-03T00:00:00"/>
    <d v="2026-07-03T00:00:00"/>
    <n v="127332.22"/>
    <s v="Mahbub Alam"/>
    <n v="127332.22"/>
    <n v="0"/>
    <n v="59"/>
    <x v="0"/>
  </r>
  <r>
    <s v="invoices_2026-06.csv"/>
    <s v="INV-202606-0046"/>
    <s v="C030"/>
    <d v="2026-06-04T00:00:00"/>
    <d v="2026-07-04T00:00:00"/>
    <n v="55500.18"/>
    <s v="Tanvir Ahmed"/>
    <n v="55500.18"/>
    <n v="0"/>
    <n v="58"/>
    <x v="0"/>
  </r>
  <r>
    <s v="invoices_2026-05.csv"/>
    <s v="INV-202605-0157"/>
    <s v="C035"/>
    <d v="2026-05-17T00:00:00"/>
    <d v="2026-07-01T00:00:00"/>
    <n v="567559.63"/>
    <s v="Farzana Akter"/>
    <n v="567559.63"/>
    <n v="0"/>
    <n v="61"/>
    <x v="0"/>
  </r>
  <r>
    <s v="invoices_2026-06.csv"/>
    <s v="INV-202606-0094"/>
    <s v="C012"/>
    <d v="2026-06-09T00:00:00"/>
    <d v="2026-07-09T00:00:00"/>
    <n v="793569.64"/>
    <s v="Shirin Sultana"/>
    <n v="793569.64"/>
    <n v="0"/>
    <n v="53"/>
    <x v="0"/>
  </r>
  <r>
    <s v="invoices_2026-06.csv"/>
    <s v="INV-202606-0192"/>
    <s v="C001"/>
    <d v="2026-06-19T00:00:00"/>
    <d v="2026-07-04T00:00:00"/>
    <n v="37988.720000000001"/>
    <s v="Nusrat Jahan"/>
    <n v="37988.720000000001"/>
    <n v="0"/>
    <n v="58"/>
    <x v="0"/>
  </r>
  <r>
    <s v="invoices_2026-05.csv"/>
    <s v="INV-202605-0159"/>
    <s v="C003"/>
    <d v="2026-05-17T00:00:00"/>
    <d v="2026-06-16T00:00:00"/>
    <n v="38415.07"/>
    <s v="Mahbub Alam"/>
    <m/>
    <n v="38415.07"/>
    <n v="76"/>
    <x v="2"/>
  </r>
  <r>
    <s v="invoices_2026-05.csv"/>
    <s v="INV-202605-0202"/>
    <s v="C009"/>
    <d v="2026-05-22T00:00:00"/>
    <d v="2026-07-06T00:00:00"/>
    <n v="119629.29"/>
    <s v="Farzana Akter"/>
    <n v="119629.29"/>
    <n v="0"/>
    <n v="56"/>
    <x v="0"/>
  </r>
  <r>
    <s v="invoices_2026-05.csv"/>
    <s v="INV-202605-0239"/>
    <s v="C009"/>
    <d v="2026-05-27T00:00:00"/>
    <d v="2026-07-11T00:00:00"/>
    <n v="805163.25"/>
    <s v="Farzana Akter"/>
    <n v="805163.25"/>
    <n v="0"/>
    <n v="51"/>
    <x v="0"/>
  </r>
  <r>
    <s v="invoices_2026-05.csv"/>
    <s v="INV-202605-0248"/>
    <s v="C035"/>
    <d v="2026-05-28T00:00:00"/>
    <d v="2026-07-12T00:00:00"/>
    <n v="92655.41"/>
    <s v="Farzana Akter"/>
    <n v="92655.41"/>
    <n v="0"/>
    <n v="50"/>
    <x v="0"/>
  </r>
  <r>
    <s v="invoices_2026-06.csv"/>
    <s v="INV-202606-0066"/>
    <s v="C046"/>
    <d v="2026-06-06T00:00:00"/>
    <d v="2026-07-06T00:00:00"/>
    <n v="178628.78"/>
    <s v="Mahbub Alam"/>
    <n v="178628.78"/>
    <n v="0"/>
    <n v="56"/>
    <x v="0"/>
  </r>
  <r>
    <s v="invoices_2026-05.csv"/>
    <s v="INV-202605-0164"/>
    <s v="C008"/>
    <d v="2026-05-18T00:00:00"/>
    <d v="2026-07-02T00:00:00"/>
    <n v="272114.45"/>
    <s v="Shirin Sultana"/>
    <m/>
    <n v="272114.45"/>
    <n v="60"/>
    <x v="3"/>
  </r>
  <r>
    <s v="invoices_2026-06.csv"/>
    <s v="INV-202606-0070"/>
    <s v="C042"/>
    <d v="2026-06-07T00:00:00"/>
    <d v="2026-07-07T00:00:00"/>
    <n v="79157.679999999993"/>
    <s v="Nusrat Jahan"/>
    <n v="79157.679999999993"/>
    <n v="0"/>
    <n v="55"/>
    <x v="0"/>
  </r>
  <r>
    <s v="invoices_2026-06.csv"/>
    <s v="INV-202606-0070"/>
    <s v="C042"/>
    <d v="2026-06-07T00:00:00"/>
    <d v="2026-07-07T00:00:00"/>
    <n v="79157.679999999993"/>
    <s v="Nusrat Jahan"/>
    <n v="79157.679999999993"/>
    <n v="0"/>
    <n v="55"/>
    <x v="0"/>
  </r>
  <r>
    <s v="invoices_2026-05.csv"/>
    <s v="INV-202605-0165"/>
    <s v="C018"/>
    <d v="2026-05-18T00:00:00"/>
    <d v="2026-06-17T00:00:00"/>
    <n v="177350.79"/>
    <s v="Shirin Sultana"/>
    <m/>
    <n v="177350.79"/>
    <n v="75"/>
    <x v="2"/>
  </r>
  <r>
    <s v="invoices_2026-06.csv"/>
    <s v="INV-202606-0100"/>
    <s v="C026"/>
    <d v="2026-06-10T00:00:00"/>
    <d v="2026-07-10T00:00:00"/>
    <n v="144742.39000000001"/>
    <s v="Nusrat Jahan"/>
    <n v="144742.39000000001"/>
    <n v="0"/>
    <n v="52"/>
    <x v="0"/>
  </r>
  <r>
    <s v="invoices_2026-06.csv"/>
    <s v="INV-202606-0135"/>
    <s v="C036"/>
    <d v="2026-06-13T00:00:00"/>
    <d v="2026-07-13T00:00:00"/>
    <n v="12021.12"/>
    <s v="Nusrat Jahan"/>
    <n v="12021.119999999999"/>
    <n v="0"/>
    <n v="49"/>
    <x v="0"/>
  </r>
  <r>
    <s v="invoices_2026-06.csv"/>
    <s v="INV-202606-0155"/>
    <s v="C010"/>
    <d v="2026-06-16T00:00:00"/>
    <d v="2026-07-01T00:00:00"/>
    <n v="16738.259999999998"/>
    <s v="Imran Hossain"/>
    <n v="16738.259999999998"/>
    <n v="0"/>
    <n v="61"/>
    <x v="0"/>
  </r>
  <r>
    <s v="invoices_2026-06.csv"/>
    <s v="INV-202606-0231"/>
    <s v="C015"/>
    <d v="2026-06-23T00:00:00"/>
    <d v="2026-07-23T00:00:00"/>
    <n v="146896.04999999999"/>
    <s v="Nusrat Jahan"/>
    <n v="146896.04999999999"/>
    <n v="0"/>
    <n v="39"/>
    <x v="0"/>
  </r>
  <r>
    <s v="invoices_2026-05.csv"/>
    <s v="INV-202605-0172"/>
    <s v="C004"/>
    <d v="2026-05-18T00:00:00"/>
    <d v="2026-07-02T00:00:00"/>
    <n v="552634.6"/>
    <s v="Nusrat Jahan"/>
    <n v="552634.6"/>
    <n v="0"/>
    <n v="60"/>
    <x v="0"/>
  </r>
  <r>
    <s v="invoices_2026-05.csv"/>
    <s v="INV-202605-0176"/>
    <s v="C019"/>
    <d v="2026-05-19T00:00:00"/>
    <d v="2026-07-18T00:00:00"/>
    <n v="340829.83"/>
    <s v="Tanvir Ahmed"/>
    <n v="340829.83"/>
    <n v="0"/>
    <n v="44"/>
    <x v="0"/>
  </r>
  <r>
    <s v="invoices_2026-05.csv"/>
    <s v="INV-202605-0200"/>
    <s v="C042"/>
    <d v="2026-05-22T00:00:00"/>
    <d v="2026-06-21T00:00:00"/>
    <n v="12574.16"/>
    <s v="Nusrat Jahan"/>
    <n v="10075.33"/>
    <n v="2498.83"/>
    <n v="71"/>
    <x v="2"/>
  </r>
  <r>
    <s v="invoices_2026-05.csv"/>
    <s v="INV-202605-0214"/>
    <s v="C012"/>
    <d v="2026-05-24T00:00:00"/>
    <d v="2026-06-23T00:00:00"/>
    <n v="142324.59"/>
    <s v="Shirin Sultana"/>
    <n v="142324.59"/>
    <n v="0"/>
    <n v="69"/>
    <x v="0"/>
  </r>
  <r>
    <s v="invoices_2026-05.csv"/>
    <s v="INV-202605-0179"/>
    <s v="C044"/>
    <d v="2026-05-19T00:00:00"/>
    <d v="2026-06-18T00:00:00"/>
    <n v="357751.29"/>
    <s v="Mahbub Alam"/>
    <n v="357751.29"/>
    <n v="0"/>
    <n v="74"/>
    <x v="0"/>
  </r>
  <r>
    <s v="invoices_2026-05.csv"/>
    <s v="INV-202605-0273"/>
    <s v="C007"/>
    <d v="2026-05-30T00:00:00"/>
    <d v="2026-06-29T00:00:00"/>
    <n v="606590.13"/>
    <s v="Mahbub Alam"/>
    <n v="606590.13"/>
    <n v="0"/>
    <n v="63"/>
    <x v="0"/>
  </r>
  <r>
    <s v="invoices_2026-06.csv"/>
    <s v="INV-202606-0062"/>
    <s v="C019"/>
    <d v="2026-06-06T00:00:00"/>
    <d v="2026-08-05T00:00:00"/>
    <n v="1465367.06"/>
    <s v="Tanvir Ahmed"/>
    <n v="1465367.06"/>
    <n v="0"/>
    <n v="26"/>
    <x v="0"/>
  </r>
  <r>
    <s v="invoices_2026-06.csv"/>
    <s v="INV-202606-0153"/>
    <s v="C010"/>
    <d v="2026-06-16T00:00:00"/>
    <d v="2026-07-01T00:00:00"/>
    <n v="30815.64"/>
    <s v="Imran Hossain"/>
    <n v="30815.64"/>
    <n v="0"/>
    <n v="61"/>
    <x v="0"/>
  </r>
  <r>
    <s v="invoices_2026-05.csv"/>
    <s v="INV-202605-0182"/>
    <s v="C019"/>
    <d v="2026-05-20T00:00:00"/>
    <d v="2026-07-19T00:00:00"/>
    <n v="50392.82"/>
    <s v="Tanvir Ahmed"/>
    <n v="19082.02"/>
    <n v="31310.799999999999"/>
    <n v="43"/>
    <x v="3"/>
  </r>
  <r>
    <s v="invoices_2026-06.csv"/>
    <s v="INV-202606-0024"/>
    <s v="C038"/>
    <d v="2026-06-03T00:00:00"/>
    <d v="2026-08-02T00:00:00"/>
    <n v="119074.96"/>
    <s v="Imran Hossain"/>
    <n v="119074.96"/>
    <n v="0"/>
    <n v="29"/>
    <x v="0"/>
  </r>
  <r>
    <s v="invoices_2026-06.csv"/>
    <s v="INV-202606-0085"/>
    <s v="C021"/>
    <d v="2026-06-09T00:00:00"/>
    <d v="2026-07-09T00:00:00"/>
    <n v="282591.43"/>
    <s v="Mahbub Alam"/>
    <n v="282591.43"/>
    <n v="0"/>
    <n v="53"/>
    <x v="0"/>
  </r>
  <r>
    <s v="invoices_2026-06.csv"/>
    <s v="INV-202606-0134"/>
    <s v="C039"/>
    <d v="2026-06-13T00:00:00"/>
    <d v="2026-06-28T00:00:00"/>
    <n v="21224.720000000001"/>
    <s v="Mahbub Alam"/>
    <n v="21224.720000000001"/>
    <n v="0"/>
    <n v="64"/>
    <x v="0"/>
  </r>
  <r>
    <s v="invoices_2026-05.csv"/>
    <s v="INV-202605-0185"/>
    <s v="C016"/>
    <d v="2026-05-20T00:00:00"/>
    <d v="2026-06-19T00:00:00"/>
    <n v="48002.53"/>
    <s v="Shirin Sultana"/>
    <n v="48002.53"/>
    <n v="0"/>
    <n v="73"/>
    <x v="0"/>
  </r>
  <r>
    <s v="invoices_2026-06.csv"/>
    <s v="INV-202606-0186"/>
    <s v="C013"/>
    <d v="2026-06-18T00:00:00"/>
    <d v="2026-08-17T00:00:00"/>
    <n v="149624.21"/>
    <s v="Nusrat Jahan"/>
    <n v="63264.83"/>
    <n v="86359.38"/>
    <n v="14"/>
    <x v="4"/>
  </r>
  <r>
    <s v="invoices_2026-05.csv"/>
    <s v="INV-202605-0188"/>
    <s v="C040"/>
    <d v="2026-05-20T00:00:00"/>
    <d v="2026-07-19T00:00:00"/>
    <n v="69059.92"/>
    <s v="Nusrat Jahan"/>
    <m/>
    <n v="69059.92"/>
    <n v="43"/>
    <x v="3"/>
  </r>
  <r>
    <s v="invoices_2026-06.csv"/>
    <s v="INV-202606-0015"/>
    <s v="C030"/>
    <d v="2026-06-02T00:00:00"/>
    <d v="2026-07-02T00:00:00"/>
    <n v="20429.310000000001"/>
    <s v="Tanvir Ahmed"/>
    <n v="20429.310000000001"/>
    <n v="0"/>
    <n v="60"/>
    <x v="0"/>
  </r>
  <r>
    <s v="invoices_2026-05.csv"/>
    <s v="INV-202605-0189"/>
    <s v="C020"/>
    <d v="2026-05-20T00:00:00"/>
    <d v="2026-07-19T00:00:00"/>
    <n v="85300.53"/>
    <s v="Nusrat Jahan"/>
    <m/>
    <n v="85300.53"/>
    <n v="43"/>
    <x v="3"/>
  </r>
  <r>
    <s v="invoices_2026-06.csv"/>
    <s v="INV-202606-0029"/>
    <s v="C042"/>
    <d v="2026-06-03T00:00:00"/>
    <d v="2026-07-03T00:00:00"/>
    <n v="45361.15"/>
    <s v="Nusrat Jahan"/>
    <n v="45361.15"/>
    <n v="0"/>
    <n v="59"/>
    <x v="0"/>
  </r>
  <r>
    <s v="invoices_2026-06.csv"/>
    <s v="INV-202606-0031"/>
    <s v="C007"/>
    <d v="2026-06-03T00:00:00"/>
    <d v="2026-07-03T00:00:00"/>
    <n v="654215.93999999994"/>
    <s v="Mahbub Alam"/>
    <n v="654215.93999999994"/>
    <n v="0"/>
    <n v="59"/>
    <x v="0"/>
  </r>
  <r>
    <s v="invoices_2026-06.csv"/>
    <s v="INV-202606-0036"/>
    <s v="C046"/>
    <d v="2026-06-03T00:00:00"/>
    <d v="2026-07-03T00:00:00"/>
    <n v="159780.10999999999"/>
    <s v="Mahbub Alam"/>
    <n v="159780.10999999999"/>
    <n v="0"/>
    <n v="59"/>
    <x v="0"/>
  </r>
  <r>
    <s v="invoices_2026-06.csv"/>
    <s v="INV-202606-0064"/>
    <s v="C044"/>
    <d v="2026-06-06T00:00:00"/>
    <d v="2026-07-06T00:00:00"/>
    <n v="288475.09999999998"/>
    <s v="Mahbub Alam"/>
    <n v="288475.09999999998"/>
    <n v="0"/>
    <n v="56"/>
    <x v="0"/>
  </r>
  <r>
    <s v="invoices_2026-06.csv"/>
    <s v="INV-202606-0128"/>
    <s v="C025"/>
    <d v="2026-06-13T00:00:00"/>
    <d v="2026-07-28T00:00:00"/>
    <n v="70232.08"/>
    <s v="Imran Hossain"/>
    <n v="42867.73"/>
    <n v="27364.35"/>
    <n v="34"/>
    <x v="3"/>
  </r>
  <r>
    <s v="invoices_2026-05.csv"/>
    <s v="INV-202605-0194"/>
    <s v="C010"/>
    <d v="2026-05-21T00:00:00"/>
    <d v="2026-06-05T00:00:00"/>
    <n v="114456.97"/>
    <s v="Imran Hossain"/>
    <m/>
    <n v="114456.97"/>
    <n v="87"/>
    <x v="2"/>
  </r>
  <r>
    <s v="invoices_2026-06.csv"/>
    <s v="INV-202606-0137"/>
    <s v="C050"/>
    <d v="2026-06-14T00:00:00"/>
    <d v="2026-06-29T00:00:00"/>
    <n v="96327.03"/>
    <s v="Nusrat Jahan"/>
    <n v="96327.03"/>
    <n v="0"/>
    <n v="63"/>
    <x v="0"/>
  </r>
  <r>
    <s v="invoices_2026-06.csv"/>
    <s v="INV-202606-0141"/>
    <s v="C027"/>
    <d v="2026-06-15T00:00:00"/>
    <d v="2026-06-30T00:00:00"/>
    <n v="623608.24"/>
    <s v="Imran Hossain"/>
    <n v="623608.24"/>
    <n v="0"/>
    <n v="62"/>
    <x v="0"/>
  </r>
  <r>
    <s v="invoices_2026-06.csv"/>
    <s v="INV-202606-0178"/>
    <s v="C049"/>
    <d v="2026-06-18T00:00:00"/>
    <d v="2026-07-03T00:00:00"/>
    <n v="63503.95"/>
    <s v="Farzana Akter"/>
    <n v="63503.95"/>
    <n v="0"/>
    <n v="59"/>
    <x v="0"/>
  </r>
  <r>
    <s v="invoices_2026-06.csv"/>
    <s v="INV-202606-0283"/>
    <s v="C021"/>
    <d v="2026-06-28T00:00:00"/>
    <d v="2026-07-28T00:00:00"/>
    <n v="483441.56"/>
    <s v="Mahbub Alam"/>
    <n v="399672.85"/>
    <n v="83768.710000000006"/>
    <n v="34"/>
    <x v="3"/>
  </r>
  <r>
    <s v="invoices_2026-05.csv"/>
    <s v="INV-202605-0199"/>
    <s v="C020"/>
    <d v="2026-05-21T00:00:00"/>
    <d v="2026-07-20T00:00:00"/>
    <n v="62387.43"/>
    <s v="Nusrat Jahan"/>
    <m/>
    <n v="62387.43"/>
    <n v="42"/>
    <x v="3"/>
  </r>
  <r>
    <s v="invoices_2026-06.csv"/>
    <s v="INV-202606-0032"/>
    <s v="C012"/>
    <d v="2026-06-03T00:00:00"/>
    <d v="2026-07-03T00:00:00"/>
    <n v="43536.97"/>
    <s v="Shirin Sultana"/>
    <n v="43536.97"/>
    <n v="0"/>
    <n v="59"/>
    <x v="0"/>
  </r>
  <r>
    <s v="invoices_2026-05.csv"/>
    <s v="INV-202605-0204"/>
    <s v="C045"/>
    <d v="2026-05-22T00:00:00"/>
    <d v="2026-06-06T00:00:00"/>
    <n v="36761.879999999997"/>
    <s v="Mahbub Alam"/>
    <n v="36761.879999999997"/>
    <n v="0"/>
    <n v="86"/>
    <x v="0"/>
  </r>
  <r>
    <s v="invoices_2026-06.csv"/>
    <s v="INV-202606-0103"/>
    <s v="C043"/>
    <d v="2026-06-10T00:00:00"/>
    <d v="2026-07-10T00:00:00"/>
    <n v="95141.02"/>
    <s v="Shirin Sultana"/>
    <n v="95141.02"/>
    <n v="0"/>
    <n v="52"/>
    <x v="0"/>
  </r>
  <r>
    <s v="invoices_2026-06.csv"/>
    <s v="INV-202606-0148"/>
    <s v="C041"/>
    <d v="2026-06-15T00:00:00"/>
    <d v="2026-07-15T00:00:00"/>
    <n v="189280.85"/>
    <s v="Tanvir Ahmed"/>
    <n v="189280.85"/>
    <n v="0"/>
    <n v="47"/>
    <x v="0"/>
  </r>
  <r>
    <s v="invoices_2026-05.csv"/>
    <s v="INV-202605-0206"/>
    <s v="C020"/>
    <d v="2026-05-23T00:00:00"/>
    <d v="2026-07-22T00:00:00"/>
    <n v="226780.92"/>
    <s v="Nusrat Jahan"/>
    <n v="226780.92"/>
    <n v="0"/>
    <n v="40"/>
    <x v="0"/>
  </r>
  <r>
    <s v="invoices_2026-05.csv"/>
    <s v="INV-202605-0208"/>
    <s v="C005"/>
    <d v="2026-05-23T00:00:00"/>
    <d v="2026-06-22T00:00:00"/>
    <n v="98189.96"/>
    <s v="Mahbub Alam"/>
    <n v="98189.96"/>
    <n v="0"/>
    <n v="70"/>
    <x v="0"/>
  </r>
  <r>
    <s v="invoices_2026-05.csv"/>
    <s v="INV-202605-0209"/>
    <s v="C004"/>
    <d v="2026-05-23T00:00:00"/>
    <d v="2026-07-07T00:00:00"/>
    <n v="2000000"/>
    <s v="Nusrat Jahan"/>
    <n v="2000000"/>
    <n v="0"/>
    <n v="55"/>
    <x v="0"/>
  </r>
  <r>
    <s v="invoices_2026-05.csv"/>
    <s v="INV-202605-0210"/>
    <s v="C043"/>
    <d v="2026-05-23T00:00:00"/>
    <d v="2026-06-22T00:00:00"/>
    <n v="43731.02"/>
    <s v="Shirin Sultana"/>
    <n v="43731.02"/>
    <n v="0"/>
    <n v="70"/>
    <x v="0"/>
  </r>
  <r>
    <s v="invoices_2026-05.csv"/>
    <s v="INV-202605-0216"/>
    <s v="C011"/>
    <d v="2026-05-25T00:00:00"/>
    <d v="2026-07-24T00:00:00"/>
    <n v="89715"/>
    <s v="Imran Hossain"/>
    <n v="89715"/>
    <n v="0"/>
    <n v="38"/>
    <x v="0"/>
  </r>
  <r>
    <s v="invoices_2026-06.csv"/>
    <s v="INV-202606-0052"/>
    <s v="C026"/>
    <d v="2026-06-05T00:00:00"/>
    <d v="2026-07-05T00:00:00"/>
    <n v="161065.89000000001"/>
    <s v="Nusrat Jahan"/>
    <n v="161065.89000000001"/>
    <n v="0"/>
    <n v="57"/>
    <x v="0"/>
  </r>
  <r>
    <s v="invoices_2026-06.csv"/>
    <s v="INV-202606-0125"/>
    <s v="C043"/>
    <d v="2026-06-12T00:00:00"/>
    <d v="2026-07-12T00:00:00"/>
    <n v="59390.48"/>
    <s v="Shirin Sultana"/>
    <n v="59390.48"/>
    <n v="0"/>
    <n v="50"/>
    <x v="0"/>
  </r>
  <r>
    <s v="invoices_2026-05.csv"/>
    <s v="INV-202605-0213"/>
    <s v="C045"/>
    <d v="2026-05-24T00:00:00"/>
    <d v="2026-06-08T00:00:00"/>
    <n v="6698.41"/>
    <s v="Mahbub Alam"/>
    <n v="6698.41"/>
    <n v="0"/>
    <n v="84"/>
    <x v="0"/>
  </r>
  <r>
    <s v="invoices_2026-06.csv"/>
    <s v="INV-202606-0182"/>
    <s v="C010"/>
    <d v="2026-06-18T00:00:00"/>
    <d v="2026-07-03T00:00:00"/>
    <n v="17794.63"/>
    <s v="Imran Hossain"/>
    <n v="17794.63"/>
    <n v="0"/>
    <n v="59"/>
    <x v="0"/>
  </r>
  <r>
    <s v="invoices_2026-06.csv"/>
    <s v="INV-202606-0193"/>
    <s v="C044"/>
    <d v="2026-06-19T00:00:00"/>
    <d v="2026-07-19T00:00:00"/>
    <n v="123792.48"/>
    <s v="Mahbub Alam"/>
    <n v="123792.48"/>
    <n v="0"/>
    <n v="43"/>
    <x v="0"/>
  </r>
  <r>
    <s v="invoices_2026-05.csv"/>
    <s v="INV-202605-0215"/>
    <s v="C020"/>
    <d v="2026-05-24T00:00:00"/>
    <d v="2026-07-23T00:00:00"/>
    <n v="124702.07"/>
    <s v="Nusrat Jahan"/>
    <n v="124702.07"/>
    <n v="0"/>
    <n v="39"/>
    <x v="0"/>
  </r>
  <r>
    <s v="invoices_2026-06.csv"/>
    <s v="INV-202606-0277"/>
    <s v="C050"/>
    <d v="2026-06-28T00:00:00"/>
    <d v="2026-07-13T00:00:00"/>
    <n v="5000"/>
    <s v="Nusrat Jahan"/>
    <n v="5000"/>
    <n v="0"/>
    <n v="49"/>
    <x v="0"/>
  </r>
  <r>
    <s v="invoices_2026-06.csv"/>
    <s v="INV-202606-0296"/>
    <s v="C032"/>
    <d v="2026-06-30T00:00:00"/>
    <d v="2026-08-14T00:00:00"/>
    <n v="578409.56999999995"/>
    <s v="Shirin Sultana"/>
    <n v="578409.57000000007"/>
    <n v="-"/>
    <n v="17"/>
    <x v="0"/>
  </r>
  <r>
    <s v="invoices_2026-05.csv"/>
    <s v="INV-202605-0218"/>
    <s v="C012"/>
    <d v="2026-05-25T00:00:00"/>
    <d v="2026-06-24T00:00:00"/>
    <n v="235845.32"/>
    <s v="Shirin Sultana"/>
    <n v="235845.32"/>
    <n v="0"/>
    <n v="68"/>
    <x v="0"/>
  </r>
  <r>
    <s v="invoices_2026-06.csv"/>
    <s v="INV-202606-0095"/>
    <s v="C024"/>
    <d v="2026-06-10T00:00:00"/>
    <d v="2026-07-10T00:00:00"/>
    <n v="11920.57"/>
    <s v="Farzana Akter"/>
    <n v="11920.57"/>
    <n v="0"/>
    <n v="52"/>
    <x v="0"/>
  </r>
  <r>
    <s v="invoices_2026-05.csv"/>
    <s v="INV-202605-0220"/>
    <s v="C020"/>
    <d v="2026-05-25T00:00:00"/>
    <d v="2026-07-24T00:00:00"/>
    <n v="57807.74"/>
    <s v="Nusrat Jahan"/>
    <m/>
    <n v="57807.74"/>
    <n v="38"/>
    <x v="3"/>
  </r>
  <r>
    <s v="invoices_2026-06.csv"/>
    <s v="INV-202606-0122"/>
    <s v="C042"/>
    <d v="2026-06-12T00:00:00"/>
    <d v="2026-07-12T00:00:00"/>
    <n v="67263.509999999995"/>
    <s v="Nusrat Jahan"/>
    <n v="67263.510000000009"/>
    <n v="-"/>
    <n v="50"/>
    <x v="0"/>
  </r>
  <r>
    <s v="invoices_2026-05.csv"/>
    <s v="INV-202605-0221"/>
    <s v="C013"/>
    <d v="2026-05-25T00:00:00"/>
    <d v="2026-07-24T00:00:00"/>
    <n v="147081.01999999999"/>
    <s v="Nusrat Jahan"/>
    <m/>
    <n v="147081.01999999999"/>
    <n v="38"/>
    <x v="3"/>
  </r>
  <r>
    <s v="invoices_2026-06.csv"/>
    <s v="INV-202606-0131"/>
    <s v="C009"/>
    <d v="2026-06-13T00:00:00"/>
    <d v="2026-07-28T00:00:00"/>
    <n v="201134.51"/>
    <s v="Farzana Akter"/>
    <n v="201134.51"/>
    <n v="0"/>
    <n v="34"/>
    <x v="0"/>
  </r>
  <r>
    <s v="invoices_2026-05.csv"/>
    <s v="INV-202605-0285"/>
    <s v="C022"/>
    <d v="2026-05-31T00:00:00"/>
    <d v="2026-06-15T00:00:00"/>
    <n v="47978.06"/>
    <s v="Mahbub Alam"/>
    <n v="47978.06"/>
    <n v="0"/>
    <n v="77"/>
    <x v="0"/>
  </r>
  <r>
    <s v="invoices_2026-05.csv"/>
    <s v="INV-202605-0223"/>
    <s v="C013"/>
    <d v="2026-05-25T00:00:00"/>
    <d v="2026-07-24T00:00:00"/>
    <n v="447881.21"/>
    <s v="Nusrat Jahan"/>
    <m/>
    <n v="447881.21"/>
    <n v="38"/>
    <x v="3"/>
  </r>
  <r>
    <s v="invoices_2026-06.csv"/>
    <s v="INV-202606-0049"/>
    <s v="C008"/>
    <d v="2026-06-05T00:00:00"/>
    <d v="2026-07-20T00:00:00"/>
    <n v="1469316.71"/>
    <s v="Shirin Sultana"/>
    <n v="1469316.71"/>
    <n v="0"/>
    <n v="42"/>
    <x v="0"/>
  </r>
  <r>
    <s v="invoices_2026-05.csv"/>
    <s v="INV-202605-0224"/>
    <s v="C026"/>
    <d v="2026-05-25T00:00:00"/>
    <d v="2026-06-24T00:00:00"/>
    <n v="65148.89"/>
    <s v="Nusrat Jahan"/>
    <n v="65148.89"/>
    <n v="0"/>
    <n v="68"/>
    <x v="0"/>
  </r>
  <r>
    <s v="invoices_2026-07.csv"/>
    <s v="INV-202607-0006"/>
    <s v="C012"/>
    <d v="2026-07-01T00:00:00"/>
    <d v="2026-07-31T00:00:00"/>
    <n v="118696.3"/>
    <s v="Shirin Sultana"/>
    <n v="118696.3"/>
    <n v="0"/>
    <n v="31"/>
    <x v="0"/>
  </r>
  <r>
    <s v="invoices_2026-05.csv"/>
    <s v="INV-202605-0225"/>
    <s v="C046"/>
    <d v="2026-05-25T00:00:00"/>
    <d v="2026-06-24T00:00:00"/>
    <n v="117960.61"/>
    <s v="Mahbub Alam"/>
    <n v="117960.61"/>
    <n v="0"/>
    <n v="68"/>
    <x v="0"/>
  </r>
  <r>
    <s v="invoices_2026-06.csv"/>
    <s v="INV-202606-0124"/>
    <s v="C026"/>
    <d v="2026-06-12T00:00:00"/>
    <d v="2026-07-12T00:00:00"/>
    <n v="478512.97"/>
    <s v="Nusrat Jahan"/>
    <n v="478512.97"/>
    <n v="0"/>
    <n v="50"/>
    <x v="0"/>
  </r>
  <r>
    <s v="invoices_2026-05.csv"/>
    <s v="INV-202605-0226"/>
    <s v="C016"/>
    <d v="2026-05-25T00:00:00"/>
    <d v="2026-06-24T00:00:00"/>
    <n v="35471.040000000001"/>
    <s v="Shirin Sultana"/>
    <n v="35471.040000000001"/>
    <n v="0"/>
    <n v="68"/>
    <x v="0"/>
  </r>
  <r>
    <s v="invoices_2026-06.csv"/>
    <s v="INV-202606-0159"/>
    <s v="C012"/>
    <d v="2026-06-17T00:00:00"/>
    <d v="2026-07-17T00:00:00"/>
    <n v="72120.05"/>
    <s v="Shirin Sultana"/>
    <n v="72120.05"/>
    <n v="0"/>
    <n v="45"/>
    <x v="0"/>
  </r>
  <r>
    <s v="invoices_2026-06.csv"/>
    <s v="INV-202606-0063"/>
    <s v="C021"/>
    <d v="2026-06-06T00:00:00"/>
    <d v="2026-07-06T00:00:00"/>
    <n v="164617.60000000001"/>
    <s v="Mahbub Alam"/>
    <n v="164617.60000000001"/>
    <n v="0"/>
    <n v="56"/>
    <x v="0"/>
  </r>
  <r>
    <s v="invoices_2026-05.csv"/>
    <s v="INV-202605-0228"/>
    <s v="C046"/>
    <d v="2026-05-25T00:00:00"/>
    <d v="2026-06-24T00:00:00"/>
    <n v="64645.7"/>
    <s v="Mahbub Alam"/>
    <n v="64645.7"/>
    <n v="0"/>
    <n v="68"/>
    <x v="0"/>
  </r>
  <r>
    <s v="invoices_2026-06.csv"/>
    <s v="INV-202606-0082"/>
    <s v="C032"/>
    <d v="2026-06-08T00:00:00"/>
    <d v="2026-07-23T00:00:00"/>
    <n v="472557.11"/>
    <s v="Shirin Sultana"/>
    <n v="472557.11"/>
    <n v="0"/>
    <n v="39"/>
    <x v="0"/>
  </r>
  <r>
    <s v="invoices_2026-05.csv"/>
    <s v="INV-202605-0229"/>
    <s v="C004"/>
    <d v="2026-05-25T00:00:00"/>
    <d v="2026-07-09T00:00:00"/>
    <n v="227605.26"/>
    <s v="Nusrat Jahan"/>
    <n v="227605.26"/>
    <n v="0"/>
    <n v="53"/>
    <x v="0"/>
  </r>
  <r>
    <s v="invoices_2026-05.csv"/>
    <s v="INV-202605-0230"/>
    <s v="C005"/>
    <d v="2026-05-25T00:00:00"/>
    <d v="2026-06-24T00:00:00"/>
    <n v="118347.62"/>
    <s v="Mahbub Alam"/>
    <n v="118347.62"/>
    <n v="0"/>
    <n v="68"/>
    <x v="0"/>
  </r>
  <r>
    <s v="invoices_2026-05.csv"/>
    <s v="INV-202605-0232"/>
    <s v="C014"/>
    <d v="2026-05-26T00:00:00"/>
    <d v="2026-07-25T00:00:00"/>
    <n v="248686.84"/>
    <s v="Nusrat Jahan"/>
    <n v="248686.84"/>
    <n v="0"/>
    <n v="37"/>
    <x v="0"/>
  </r>
  <r>
    <s v="invoices_2026-06.csv"/>
    <s v="INV-202606-0133"/>
    <s v="C002"/>
    <d v="2026-06-13T00:00:00"/>
    <d v="2026-07-28T00:00:00"/>
    <n v="77418.06"/>
    <s v="Tanvir Ahmed"/>
    <n v="77418.06"/>
    <n v="0"/>
    <n v="34"/>
    <x v="0"/>
  </r>
  <r>
    <s v="invoices_2026-05.csv"/>
    <s v="INV-202605-0236"/>
    <s v="C038"/>
    <d v="2026-05-26T00:00:00"/>
    <d v="2026-07-25T00:00:00"/>
    <n v="212175.83"/>
    <s v="Imran Hossain"/>
    <n v="120274.05"/>
    <n v="91901.78"/>
    <n v="37"/>
    <x v="3"/>
  </r>
  <r>
    <s v="invoices_2026-06.csv"/>
    <s v="INV-202606-0107"/>
    <s v="C033"/>
    <d v="2026-06-11T00:00:00"/>
    <d v="2026-07-11T00:00:00"/>
    <n v="158673.85999999999"/>
    <s v="Nusrat Jahan"/>
    <n v="158673.85999999999"/>
    <n v="0"/>
    <n v="51"/>
    <x v="0"/>
  </r>
  <r>
    <s v="invoices_2026-05.csv"/>
    <s v="INV-202605-0237"/>
    <s v="C005"/>
    <d v="2026-05-26T00:00:00"/>
    <d v="2026-06-25T00:00:00"/>
    <n v="250121.07"/>
    <s v="Mahbub Alam"/>
    <n v="250121.07"/>
    <n v="0"/>
    <n v="67"/>
    <x v="0"/>
  </r>
  <r>
    <s v="invoices_2026-05.csv"/>
    <s v="INV-202605-0238"/>
    <s v="C045"/>
    <d v="2026-05-27T00:00:00"/>
    <d v="2026-06-11T00:00:00"/>
    <n v="23169.98"/>
    <s v="Mahbub Alam"/>
    <n v="23169.98"/>
    <n v="0"/>
    <n v="81"/>
    <x v="0"/>
  </r>
  <r>
    <s v="invoices_2026-05.csv"/>
    <s v="INV-202605-0242"/>
    <s v="C045"/>
    <d v="2026-05-27T00:00:00"/>
    <d v="2026-06-11T00:00:00"/>
    <n v="189568.97"/>
    <s v="Mahbub Alam"/>
    <n v="189568.97"/>
    <n v="0"/>
    <n v="81"/>
    <x v="0"/>
  </r>
  <r>
    <s v="invoices_2026-05.csv"/>
    <s v="INV-202605-0261"/>
    <s v="C045"/>
    <d v="2026-05-29T00:00:00"/>
    <d v="2026-06-13T00:00:00"/>
    <n v="10306.620000000001"/>
    <s v="Mahbub Alam"/>
    <n v="10306.620000000001"/>
    <n v="0"/>
    <n v="79"/>
    <x v="0"/>
  </r>
  <r>
    <s v="invoices_2026-05.csv"/>
    <s v="INV-202605-0243"/>
    <s v="C020"/>
    <d v="2026-05-27T00:00:00"/>
    <d v="2026-07-26T00:00:00"/>
    <n v="61469.87"/>
    <s v="Nusrat Jahan"/>
    <n v="61469.87"/>
    <n v="0"/>
    <n v="36"/>
    <x v="0"/>
  </r>
  <r>
    <s v="invoices_2026-06.csv"/>
    <s v="INV-202606-0056"/>
    <s v="C010"/>
    <d v="2026-06-05T00:00:00"/>
    <d v="2026-06-20T00:00:00"/>
    <n v="23005.67"/>
    <s v="Imran Hossain"/>
    <n v="23005.67"/>
    <n v="0"/>
    <n v="72"/>
    <x v="0"/>
  </r>
  <r>
    <s v="invoices_2026-06.csv"/>
    <s v="INV-202606-0162"/>
    <s v="C035"/>
    <d v="2026-06-17T00:00:00"/>
    <d v="2026-08-01T00:00:00"/>
    <n v="643696.89"/>
    <s v="Farzana Akter"/>
    <n v="643696.89"/>
    <n v="0"/>
    <n v="30"/>
    <x v="0"/>
  </r>
  <r>
    <s v="invoices_2026-06.csv"/>
    <s v="INV-202606-0180"/>
    <s v="C026"/>
    <d v="2026-06-18T00:00:00"/>
    <d v="2026-07-18T00:00:00"/>
    <n v="148780.01999999999"/>
    <s v="Nusrat Jahan"/>
    <n v="148780.02000000002"/>
    <n v="-"/>
    <n v="44"/>
    <x v="0"/>
  </r>
  <r>
    <s v="invoices_2026-06.csv"/>
    <s v="INV-202606-0240"/>
    <s v="C008"/>
    <d v="2026-06-24T00:00:00"/>
    <d v="2026-08-08T00:00:00"/>
    <n v="1094604.05"/>
    <s v="Shirin Sultana"/>
    <n v="1094604.05"/>
    <n v="0"/>
    <n v="23"/>
    <x v="0"/>
  </r>
  <r>
    <s v="invoices_2026-06.csv"/>
    <s v="INV-202606-0252"/>
    <s v="C018"/>
    <d v="2026-06-26T00:00:00"/>
    <d v="2026-07-26T00:00:00"/>
    <n v="36845.599999999999"/>
    <s v="Shirin Sultana"/>
    <n v="36845.599999999999"/>
    <n v="0"/>
    <n v="36"/>
    <x v="0"/>
  </r>
  <r>
    <s v="invoices_2026-06.csv"/>
    <s v="INV-202606-0068"/>
    <s v="C010"/>
    <d v="2026-06-07T00:00:00"/>
    <d v="2026-06-22T00:00:00"/>
    <n v="251696.46"/>
    <s v="Imran Hossain"/>
    <n v="251696.46"/>
    <n v="0"/>
    <n v="70"/>
    <x v="0"/>
  </r>
  <r>
    <s v="invoices_2026-05.csv"/>
    <s v="INV-202605-0250"/>
    <s v="C005"/>
    <d v="2026-05-28T00:00:00"/>
    <d v="2026-06-27T00:00:00"/>
    <n v="67471.45"/>
    <s v="Mahbub Alam"/>
    <n v="67471.45"/>
    <n v="0"/>
    <n v="65"/>
    <x v="0"/>
  </r>
  <r>
    <s v="invoices_2026-06.csv"/>
    <s v="INV-202606-0210"/>
    <s v="C007"/>
    <d v="2026-06-21T00:00:00"/>
    <d v="2026-07-21T00:00:00"/>
    <n v="395170.38"/>
    <s v="Mahbub Alam"/>
    <n v="395170.38"/>
    <n v="0"/>
    <n v="41"/>
    <x v="0"/>
  </r>
  <r>
    <s v="invoices_2026-06.csv"/>
    <s v="INV-202606-0230"/>
    <s v="C007"/>
    <d v="2026-06-23T00:00:00"/>
    <d v="2026-07-23T00:00:00"/>
    <n v="248076.59"/>
    <s v="Mahbub Alam"/>
    <n v="248076.59"/>
    <n v="0"/>
    <n v="39"/>
    <x v="0"/>
  </r>
  <r>
    <s v="invoices_2026-07.csv"/>
    <s v="INV-202607-0013"/>
    <s v="C022"/>
    <d v="2026-07-02T00:00:00"/>
    <d v="2026-07-17T00:00:00"/>
    <n v="29914.51"/>
    <s v="Mahbub Alam"/>
    <n v="29914.51"/>
    <n v="0"/>
    <n v="45"/>
    <x v="0"/>
  </r>
  <r>
    <s v="invoices_2026-05.csv"/>
    <s v="INV-202605-0254"/>
    <s v="C007"/>
    <d v="2026-05-28T00:00:00"/>
    <d v="2026-06-27T00:00:00"/>
    <n v="474734.02"/>
    <s v="Mahbub Alam"/>
    <m/>
    <n v="474734.02"/>
    <n v="65"/>
    <x v="2"/>
  </r>
  <r>
    <s v="invoices_2026-05.csv"/>
    <s v="INV-202605-0276"/>
    <s v="C008"/>
    <d v="2026-05-30T00:00:00"/>
    <d v="2026-07-14T00:00:00"/>
    <n v="187312.63"/>
    <s v="Shirin Sultana"/>
    <n v="187312.63"/>
    <n v="0"/>
    <n v="48"/>
    <x v="0"/>
  </r>
  <r>
    <s v="invoices_2026-06.csv"/>
    <s v="INV-202606-0256"/>
    <s v="C002"/>
    <d v="2026-06-26T00:00:00"/>
    <d v="2026-08-10T00:00:00"/>
    <n v="75683.179999999993"/>
    <s v="Tanvir Ahmed"/>
    <n v="75683.179999999993"/>
    <n v="0"/>
    <n v="21"/>
    <x v="0"/>
  </r>
  <r>
    <s v="invoices_2026-05.csv"/>
    <s v="INV-202605-0256"/>
    <s v="C035"/>
    <d v="2026-05-29T00:00:00"/>
    <d v="2026-07-13T00:00:00"/>
    <n v="658845.54"/>
    <s v="Farzana Akter"/>
    <n v="658845.54"/>
    <n v="0"/>
    <n v="49"/>
    <x v="0"/>
  </r>
  <r>
    <s v="invoices_2026-05.csv"/>
    <s v="INV-202605-0258"/>
    <s v="C024"/>
    <d v="2026-05-29T00:00:00"/>
    <d v="2026-06-28T00:00:00"/>
    <n v="45548.29"/>
    <s v="Farzana Akter"/>
    <n v="45548.29"/>
    <n v="0"/>
    <n v="64"/>
    <x v="0"/>
  </r>
  <r>
    <s v="invoices_2026-06.csv"/>
    <s v="INV-202606-0265"/>
    <s v="C043"/>
    <d v="2026-06-27T00:00:00"/>
    <d v="2026-07-27T00:00:00"/>
    <n v="50944.34"/>
    <s v="Shirin Sultana"/>
    <n v="50944.34"/>
    <n v="0"/>
    <n v="35"/>
    <x v="0"/>
  </r>
  <r>
    <s v="invoices_2026-05.csv"/>
    <s v="INV-202605-0259"/>
    <s v="C044"/>
    <d v="2026-05-29T00:00:00"/>
    <d v="2026-06-28T00:00:00"/>
    <n v="602446.54"/>
    <s v="Mahbub Alam"/>
    <n v="324443.59999999998"/>
    <n v="278002.94"/>
    <n v="64"/>
    <x v="2"/>
  </r>
  <r>
    <s v="invoices_2026-06.csv"/>
    <s v="INV-202606-0280"/>
    <s v="C042"/>
    <d v="2026-06-28T00:00:00"/>
    <d v="2026-07-28T00:00:00"/>
    <n v="183421.88"/>
    <s v="Nusrat Jahan"/>
    <n v="183421.88"/>
    <n v="0"/>
    <n v="34"/>
    <x v="0"/>
  </r>
  <r>
    <s v="invoices_2026-07.csv"/>
    <s v="INV-202607-0099"/>
    <s v="C049"/>
    <d v="2026-07-12T00:00:00"/>
    <d v="2026-07-27T00:00:00"/>
    <n v="48795.17"/>
    <s v="Farzana Akter"/>
    <n v="24534.55"/>
    <n v="24260.62"/>
    <n v="35"/>
    <x v="3"/>
  </r>
  <r>
    <s v="invoices_2026-05.csv"/>
    <s v="INV-202605-0263"/>
    <s v="C012"/>
    <d v="2026-05-29T00:00:00"/>
    <d v="2026-06-28T00:00:00"/>
    <n v="58226.27"/>
    <s v="Shirin Sultana"/>
    <n v="58226.27"/>
    <n v="0"/>
    <n v="64"/>
    <x v="0"/>
  </r>
  <r>
    <s v="invoices_2026-06.csv"/>
    <s v="INV-202606-0076"/>
    <s v="C009"/>
    <d v="2026-06-08T00:00:00"/>
    <d v="2026-07-23T00:00:00"/>
    <n v="376788.52"/>
    <s v="Farzana Akter"/>
    <n v="376788.52"/>
    <n v="0"/>
    <n v="39"/>
    <x v="0"/>
  </r>
  <r>
    <s v="invoices_2026-05.csv"/>
    <s v="INV-202605-0264"/>
    <s v="C045"/>
    <d v="2026-05-29T00:00:00"/>
    <d v="2026-06-13T00:00:00"/>
    <n v="12982.49"/>
    <s v="Mahbub Alam"/>
    <n v="12982.49"/>
    <n v="0"/>
    <n v="79"/>
    <x v="0"/>
  </r>
  <r>
    <s v="invoices_2026-06.csv"/>
    <s v="INV-202606-0078"/>
    <s v="C030"/>
    <d v="2026-06-08T00:00:00"/>
    <d v="2026-07-08T00:00:00"/>
    <n v="10585.47"/>
    <s v="Tanvir Ahmed"/>
    <n v="10585.47"/>
    <n v="0"/>
    <n v="54"/>
    <x v="0"/>
  </r>
  <r>
    <s v="invoices_2026-06.csv"/>
    <s v="INV-202606-0247"/>
    <s v="C025"/>
    <d v="2026-06-25T00:00:00"/>
    <d v="2026-08-09T00:00:00"/>
    <n v="38832.92"/>
    <s v="Imran Hossain"/>
    <n v="38832.92"/>
    <n v="0"/>
    <n v="22"/>
    <x v="0"/>
  </r>
  <r>
    <s v="invoices_2026-05.csv"/>
    <s v="INV-202605-0266"/>
    <s v="C009"/>
    <d v="2026-05-29T00:00:00"/>
    <d v="2026-07-13T00:00:00"/>
    <n v="348796.43"/>
    <s v="Farzana Akter"/>
    <m/>
    <n v="348796.43"/>
    <n v="49"/>
    <x v="3"/>
  </r>
  <r>
    <s v="invoices_2026-06.csv"/>
    <s v="INV-202606-0266"/>
    <s v="C026"/>
    <d v="2026-06-27T00:00:00"/>
    <d v="2026-07-27T00:00:00"/>
    <n v="27888.31"/>
    <s v="Nusrat Jahan"/>
    <n v="27888.31"/>
    <n v="0"/>
    <n v="35"/>
    <x v="0"/>
  </r>
  <r>
    <s v="invoices_2026-05.csv"/>
    <s v="INV-202605-0267"/>
    <s v="C044"/>
    <d v="2026-05-29T00:00:00"/>
    <d v="2026-06-28T00:00:00"/>
    <n v="161223.25"/>
    <s v="Mahbub Alam"/>
    <n v="94538.4"/>
    <n v="66684.850000000006"/>
    <n v="64"/>
    <x v="2"/>
  </r>
  <r>
    <s v="invoices_2026-06.csv"/>
    <s v="INV-202606-0188"/>
    <s v="C026"/>
    <d v="2026-06-19T00:00:00"/>
    <d v="2026-07-19T00:00:00"/>
    <n v="270624.28000000003"/>
    <s v="Nusrat Jahan"/>
    <n v="270624.28000000003"/>
    <n v="0"/>
    <n v="43"/>
    <x v="0"/>
  </r>
  <r>
    <s v="invoices_2026-05.csv"/>
    <s v="INV-202605-0269"/>
    <s v="C040"/>
    <d v="2026-05-30T00:00:00"/>
    <d v="2026-07-29T00:00:00"/>
    <n v="450135.82"/>
    <s v="Nusrat Jahan"/>
    <m/>
    <n v="450135.82"/>
    <n v="33"/>
    <x v="3"/>
  </r>
  <r>
    <s v="invoices_2026-06.csv"/>
    <s v="INV-202606-0299"/>
    <s v="C033"/>
    <d v="2026-06-30T00:00:00"/>
    <d v="2026-07-30T00:00:00"/>
    <n v="161677.92000000001"/>
    <s v="Nusrat Jahan"/>
    <n v="161677.92000000001"/>
    <n v="0"/>
    <n v="32"/>
    <x v="0"/>
  </r>
  <r>
    <s v="invoices_2026-07.csv"/>
    <s v="INV-202607-0032"/>
    <s v="C026"/>
    <d v="2026-07-04T00:00:00"/>
    <d v="2026-08-03T00:00:00"/>
    <n v="563792.88"/>
    <s v="Nusrat Jahan"/>
    <n v="563792.88"/>
    <n v="0"/>
    <n v="28"/>
    <x v="0"/>
  </r>
  <r>
    <s v="invoices_2026-05.csv"/>
    <s v="INV-202605-0271"/>
    <s v="C016"/>
    <d v="2026-05-30T00:00:00"/>
    <d v="2026-06-29T00:00:00"/>
    <n v="9312.52"/>
    <s v="Shirin Sultana"/>
    <n v="9312.52"/>
    <n v="0"/>
    <n v="63"/>
    <x v="0"/>
  </r>
  <r>
    <s v="invoices_2026-06.csv"/>
    <s v="INV-202606-0177"/>
    <s v="C001"/>
    <d v="2026-06-18T00:00:00"/>
    <d v="2026-07-03T00:00:00"/>
    <n v="41413.71"/>
    <s v="Nusrat Jahan"/>
    <n v="41413.71"/>
    <n v="0"/>
    <n v="59"/>
    <x v="0"/>
  </r>
  <r>
    <s v="invoices_2026-06.csv"/>
    <s v="INV-202606-0224"/>
    <s v="C030"/>
    <d v="2026-06-23T00:00:00"/>
    <d v="2026-07-23T00:00:00"/>
    <n v="44597.42"/>
    <s v="Tanvir Ahmed"/>
    <n v="44597.42"/>
    <n v="0"/>
    <n v="39"/>
    <x v="0"/>
  </r>
  <r>
    <s v="invoices_2026-06.csv"/>
    <s v="INV-202606-0239"/>
    <s v="C021"/>
    <d v="2026-06-24T00:00:00"/>
    <d v="2026-07-24T00:00:00"/>
    <n v="46881.75"/>
    <s v="Mahbub Alam"/>
    <n v="36315.4"/>
    <n v="10566.35"/>
    <n v="38"/>
    <x v="3"/>
  </r>
  <r>
    <s v="invoices_2026-05.csv"/>
    <s v="INV-202605-0275"/>
    <s v="C044"/>
    <d v="2026-05-30T00:00:00"/>
    <d v="2026-06-29T00:00:00"/>
    <n v="84530.51"/>
    <s v="Mahbub Alam"/>
    <n v="84530.51"/>
    <n v="0"/>
    <n v="63"/>
    <x v="0"/>
  </r>
  <r>
    <s v="invoices_2026-06.csv"/>
    <s v="INV-202606-0253"/>
    <s v="C033"/>
    <d v="2026-06-26T00:00:00"/>
    <d v="2026-07-26T00:00:00"/>
    <n v="350536.77"/>
    <s v="Nusrat Jahan"/>
    <n v="350536.77"/>
    <n v="0"/>
    <n v="36"/>
    <x v="0"/>
  </r>
  <r>
    <s v="invoices_2026-06.csv"/>
    <s v="INV-202606-0041"/>
    <s v="C040"/>
    <d v="2026-06-04T00:00:00"/>
    <d v="2026-08-03T00:00:00"/>
    <n v="125031.45"/>
    <s v="Nusrat Jahan"/>
    <n v="53854.229999999996"/>
    <n v="71177.22"/>
    <n v="28"/>
    <x v="4"/>
  </r>
  <r>
    <s v="invoices_2026-05.csv"/>
    <s v="INV-202605-0277"/>
    <s v="C016"/>
    <d v="2026-05-30T00:00:00"/>
    <d v="2026-06-29T00:00:00"/>
    <n v="33227.53"/>
    <s v="Shirin Sultana"/>
    <n v="33227.53"/>
    <n v="0"/>
    <n v="63"/>
    <x v="0"/>
  </r>
  <r>
    <s v="invoices_2026-06.csv"/>
    <s v="INV-202606-0271"/>
    <s v="C033"/>
    <d v="2026-06-27T00:00:00"/>
    <d v="2026-07-27T00:00:00"/>
    <n v="102689.61"/>
    <s v="Nusrat Jahan"/>
    <n v="102689.61"/>
    <n v="0"/>
    <n v="35"/>
    <x v="0"/>
  </r>
  <r>
    <s v="invoices_2026-06.csv"/>
    <s v="INV-202606-0293"/>
    <s v="C007"/>
    <d v="2026-06-30T00:00:00"/>
    <d v="2026-07-30T00:00:00"/>
    <n v="643181.57999999996"/>
    <s v="Mahbub Alam"/>
    <n v="643181.57999999996"/>
    <n v="0"/>
    <n v="32"/>
    <x v="0"/>
  </r>
  <r>
    <s v="invoices_2026-05.csv"/>
    <s v="INV-202605-0279"/>
    <s v="C013"/>
    <d v="2026-05-30T00:00:00"/>
    <d v="2026-07-29T00:00:00"/>
    <n v="141941.98000000001"/>
    <s v="Nusrat Jahan"/>
    <n v="141941.98000000001"/>
    <n v="0"/>
    <n v="33"/>
    <x v="0"/>
  </r>
  <r>
    <s v="invoices_2026-06.csv"/>
    <s v="INV-202606-0138"/>
    <s v="C050"/>
    <d v="2026-06-14T00:00:00"/>
    <d v="2026-06-29T00:00:00"/>
    <n v="58317.97"/>
    <s v="Nusrat Jahan"/>
    <n v="58317.97"/>
    <n v="0"/>
    <n v="63"/>
    <x v="0"/>
  </r>
  <r>
    <s v="invoices_2026-06.csv"/>
    <s v="INV-202606-0187"/>
    <s v="C013"/>
    <d v="2026-06-18T00:00:00"/>
    <d v="2026-08-17T00:00:00"/>
    <n v="191157.43"/>
    <s v="Nusrat Jahan"/>
    <n v="191157.43"/>
    <n v="0"/>
    <n v="14"/>
    <x v="0"/>
  </r>
  <r>
    <s v="invoices_2026-05.csv"/>
    <s v="INV-202605-0282"/>
    <s v="C011"/>
    <d v="2026-05-30T00:00:00"/>
    <d v="2026-07-29T00:00:00"/>
    <n v="14576.91"/>
    <s v="Imran Hossain"/>
    <n v="14576.91"/>
    <n v="0"/>
    <n v="33"/>
    <x v="0"/>
  </r>
  <r>
    <s v="invoices_2026-07.csv"/>
    <s v="INV-202607-0080"/>
    <s v="C046"/>
    <d v="2026-07-10T00:00:00"/>
    <d v="2026-08-09T00:00:00"/>
    <n v="235428.82"/>
    <s v="Mahbub Alam"/>
    <n v="235428.82"/>
    <n v="0"/>
    <n v="22"/>
    <x v="0"/>
  </r>
  <r>
    <s v="invoices_2026-05.csv"/>
    <s v="INV-202605-0298"/>
    <s v="C012"/>
    <d v="2026-05-31T00:00:00"/>
    <d v="2026-06-30T00:00:00"/>
    <n v="90825.06"/>
    <s v="Shirin Sultana"/>
    <n v="90825.06"/>
    <n v="0"/>
    <n v="62"/>
    <x v="0"/>
  </r>
  <r>
    <s v="invoices_2026-06.csv"/>
    <s v="INV-202606-0042"/>
    <s v="C006"/>
    <d v="2026-06-04T00:00:00"/>
    <d v="2026-07-19T00:00:00"/>
    <n v="60119.16"/>
    <s v="Nusrat Jahan"/>
    <n v="60119.16"/>
    <n v="0"/>
    <n v="43"/>
    <x v="0"/>
  </r>
  <r>
    <s v="invoices_2026-05.csv"/>
    <s v="INV-202605-0286"/>
    <s v="C026"/>
    <d v="2026-05-31T00:00:00"/>
    <d v="2026-06-30T00:00:00"/>
    <n v="480352.52"/>
    <s v="Nusrat Jahan"/>
    <n v="480352.52"/>
    <n v="0"/>
    <n v="62"/>
    <x v="0"/>
  </r>
  <r>
    <s v="invoices_2026-06.csv"/>
    <s v="INV-202606-0173"/>
    <s v="C004"/>
    <d v="2026-06-18T00:00:00"/>
    <d v="2026-08-02T00:00:00"/>
    <n v="394460.36"/>
    <s v="Nusrat Jahan"/>
    <n v="394460.36"/>
    <n v="0"/>
    <n v="29"/>
    <x v="0"/>
  </r>
  <r>
    <s v="invoices_2026-05.csv"/>
    <s v="INV-202605-0287"/>
    <s v="C025"/>
    <d v="2026-05-31T00:00:00"/>
    <d v="2026-07-15T00:00:00"/>
    <n v="392289.27"/>
    <s v="Imran Hossain"/>
    <n v="392289.27"/>
    <n v="0"/>
    <n v="47"/>
    <x v="0"/>
  </r>
  <r>
    <s v="invoices_2026-06.csv"/>
    <s v="INV-202606-0273"/>
    <s v="C025"/>
    <d v="2026-06-27T00:00:00"/>
    <d v="2026-08-11T00:00:00"/>
    <n v="97837.62"/>
    <s v="Imran Hossain"/>
    <n v="46738.239999999998"/>
    <n v="51099.38"/>
    <n v="20"/>
    <x v="4"/>
  </r>
  <r>
    <s v="invoices_2026-05.csv"/>
    <s v="INV-202605-0288"/>
    <s v="C006"/>
    <d v="2026-05-31T00:00:00"/>
    <d v="2026-07-15T00:00:00"/>
    <n v="236280.72"/>
    <s v="Nusrat Jahan"/>
    <n v="74265.84"/>
    <n v="162014.88"/>
    <n v="47"/>
    <x v="3"/>
  </r>
  <r>
    <s v="invoices_2026-07.csv"/>
    <s v="INV-202607-0010"/>
    <s v="C030"/>
    <d v="2026-07-01T00:00:00"/>
    <d v="2026-07-31T00:00:00"/>
    <n v="8882.42"/>
    <s v="Tanvir Ahmed"/>
    <n v="8882.42"/>
    <n v="0"/>
    <n v="31"/>
    <x v="0"/>
  </r>
  <r>
    <s v="invoices_2026-05.csv"/>
    <s v="INV-202605-0289"/>
    <s v="C015"/>
    <d v="2026-05-31T00:00:00"/>
    <d v="2026-06-30T00:00:00"/>
    <n v="5000"/>
    <s v="Nusrat Jahan"/>
    <n v="5000"/>
    <n v="0"/>
    <n v="62"/>
    <x v="0"/>
  </r>
  <r>
    <s v="invoices_2026-07.csv"/>
    <s v="INV-202607-0059"/>
    <s v="C026"/>
    <d v="2026-07-08T00:00:00"/>
    <d v="2026-08-07T00:00:00"/>
    <n v="183659.5"/>
    <s v="Nusrat Jahan"/>
    <n v="183659.5"/>
    <n v="0"/>
    <n v="24"/>
    <x v="0"/>
  </r>
  <r>
    <s v="invoices_2026-07.csv"/>
    <s v="INV-202607-0166"/>
    <s v="C022"/>
    <d v="2026-07-18T00:00:00"/>
    <d v="2026-08-02T00:00:00"/>
    <n v="47357.48"/>
    <s v="Mahbub Alam"/>
    <n v="47357.48"/>
    <n v="0"/>
    <n v="29"/>
    <x v="0"/>
  </r>
  <r>
    <s v="invoices_2026-05.csv"/>
    <s v="INV-202605-0291"/>
    <s v="C032"/>
    <d v="2026-05-31T00:00:00"/>
    <d v="2026-07-15T00:00:00"/>
    <n v="433315.51"/>
    <s v="Shirin Sultana"/>
    <n v="433315.51"/>
    <n v="0"/>
    <n v="47"/>
    <x v="0"/>
  </r>
  <r>
    <s v="invoices_2026-06.csv"/>
    <s v="INV-202606-0117"/>
    <s v="C008"/>
    <d v="2026-06-12T00:00:00"/>
    <d v="2026-07-27T00:00:00"/>
    <n v="328521.34999999998"/>
    <s v="Shirin Sultana"/>
    <n v="328521.34999999998"/>
    <n v="0"/>
    <n v="35"/>
    <x v="0"/>
  </r>
  <r>
    <s v="invoices_2026-05.csv"/>
    <s v="INV-202605-0292"/>
    <s v="C045"/>
    <d v="2026-05-31T00:00:00"/>
    <d v="2026-06-15T00:00:00"/>
    <n v="29081.93"/>
    <s v="Mahbub Alam"/>
    <n v="29081.93"/>
    <n v="0"/>
    <n v="77"/>
    <x v="0"/>
  </r>
  <r>
    <s v="invoices_2026-06.csv"/>
    <s v="INV-202606-0223"/>
    <s v="C026"/>
    <d v="2026-06-23T00:00:00"/>
    <d v="2026-07-23T00:00:00"/>
    <n v="65907.8"/>
    <s v="Nusrat Jahan"/>
    <n v="65907.8"/>
    <n v="0"/>
    <n v="39"/>
    <x v="0"/>
  </r>
  <r>
    <s v="invoices_2026-05.csv"/>
    <s v="INV-202605-0293"/>
    <s v="C039"/>
    <d v="2026-05-31T00:00:00"/>
    <d v="2026-06-15T00:00:00"/>
    <n v="55096.06"/>
    <s v="Mahbub Alam"/>
    <n v="55096.06"/>
    <n v="0"/>
    <n v="77"/>
    <x v="0"/>
  </r>
  <r>
    <s v="invoices_2026-07.csv"/>
    <s v="INV-202607-0038"/>
    <s v="C012"/>
    <d v="2026-07-04T00:00:00"/>
    <d v="2026-08-03T00:00:00"/>
    <n v="120565.18"/>
    <s v="Shirin Sultana"/>
    <n v="21906.62"/>
    <n v="98658.559999999998"/>
    <n v="28"/>
    <x v="4"/>
  </r>
  <r>
    <s v="invoices_2026-07.csv"/>
    <s v="INV-202607-0075"/>
    <s v="C017"/>
    <d v="2026-07-10T00:00:00"/>
    <d v="2026-07-25T00:00:00"/>
    <n v="141270.09"/>
    <s v="Tanvir Ahmed"/>
    <n v="177239.15"/>
    <n v="-35969.06"/>
    <n v="37"/>
    <x v="0"/>
  </r>
  <r>
    <s v="invoices_2026-05.csv"/>
    <s v="INV-202605-0295"/>
    <s v="C032"/>
    <d v="2026-05-31T00:00:00"/>
    <d v="2026-07-15T00:00:00"/>
    <n v="677358.32"/>
    <s v="Shirin Sultana"/>
    <n v="677358.32"/>
    <n v="0"/>
    <n v="47"/>
    <x v="0"/>
  </r>
  <r>
    <s v="invoices_2026-07.csv"/>
    <s v="INV-202607-0171"/>
    <s v="C007"/>
    <d v="2026-07-19T00:00:00"/>
    <d v="2026-08-18T00:00:00"/>
    <n v="1422617.12"/>
    <s v="Mahbub Alam"/>
    <n v="382149.72"/>
    <n v="1040467.4"/>
    <n v="13"/>
    <x v="4"/>
  </r>
  <r>
    <s v="invoices_2026-05.csv"/>
    <s v="INV-202605-0296"/>
    <s v="C004"/>
    <d v="2026-05-31T00:00:00"/>
    <d v="2026-07-15T00:00:00"/>
    <n v="310011.71000000002"/>
    <s v="Nusrat Jahan"/>
    <m/>
    <n v="310011.71000000002"/>
    <n v="47"/>
    <x v="3"/>
  </r>
  <r>
    <s v="invoices_2026-07.csv"/>
    <s v="INV-202607-0022"/>
    <s v="C003"/>
    <d v="2026-07-03T00:00:00"/>
    <d v="2026-08-02T00:00:00"/>
    <n v="50013.440000000002"/>
    <s v="Mahbub Alam"/>
    <n v="50013.440000000002"/>
    <n v="0"/>
    <n v="29"/>
    <x v="0"/>
  </r>
  <r>
    <s v="invoices_2026-07.csv"/>
    <s v="INV-202607-0060"/>
    <s v="C004"/>
    <d v="2026-07-08T00:00:00"/>
    <d v="2026-08-22T00:00:00"/>
    <n v="123279.52"/>
    <s v="Nusrat Jahan"/>
    <n v="47991.38"/>
    <n v="75288.14"/>
    <n v="9"/>
    <x v="4"/>
  </r>
  <r>
    <s v="invoices_2026-05.csv"/>
    <s v="INV-202605-0299"/>
    <s v="C026"/>
    <d v="2026-05-31T00:00:00"/>
    <d v="2026-06-30T00:00:00"/>
    <n v="564376.17000000004"/>
    <s v="Nusrat Jahan"/>
    <n v="564376.17000000004"/>
    <n v="0"/>
    <n v="62"/>
    <x v="0"/>
  </r>
  <r>
    <s v="invoices_2026-07.csv"/>
    <s v="INV-202607-0100"/>
    <s v="C017"/>
    <d v="2026-07-12T00:00:00"/>
    <d v="2026-07-27T00:00:00"/>
    <n v="32707.279999999999"/>
    <s v="Tanvir Ahmed"/>
    <n v="32707.279999999999"/>
    <n v="0"/>
    <n v="35"/>
    <x v="0"/>
  </r>
  <r>
    <s v="invoices_2026-07.csv"/>
    <s v="INV-202607-0065"/>
    <s v="C023"/>
    <d v="2026-07-08T00:00:00"/>
    <d v="2026-08-07T00:00:00"/>
    <n v="211898.61"/>
    <s v="Nusrat Jahan"/>
    <n v="211898.61"/>
    <n v="0"/>
    <n v="24"/>
    <x v="0"/>
  </r>
  <r>
    <s v="invoices_2026-06.csv"/>
    <s v="INV-202606-0001"/>
    <s v="C046"/>
    <d v="2026-06-01T00:00:00"/>
    <d v="2026-07-01T00:00:00"/>
    <n v="269064.2"/>
    <s v="Mahbub Alam"/>
    <m/>
    <n v="269064.2"/>
    <n v="61"/>
    <x v="2"/>
  </r>
  <r>
    <s v="invoices_2026-06.csv"/>
    <s v="INV-202606-0267"/>
    <s v="C003"/>
    <d v="2026-06-27T00:00:00"/>
    <d v="2026-07-27T00:00:00"/>
    <n v="33729.25"/>
    <s v="Mahbub Alam"/>
    <n v="33729.25"/>
    <n v="0"/>
    <n v="35"/>
    <x v="0"/>
  </r>
  <r>
    <s v="invoices_2026-07.csv"/>
    <s v="INV-202607-0123"/>
    <s v="C010"/>
    <d v="2026-07-14T00:00:00"/>
    <d v="2026-07-29T00:00:00"/>
    <n v="49327.71"/>
    <s v="Imran Hossain"/>
    <n v="49327.71"/>
    <n v="0"/>
    <n v="33"/>
    <x v="0"/>
  </r>
  <r>
    <s v="invoices_2026-06.csv"/>
    <s v="INV-202606-0004"/>
    <s v="C045"/>
    <d v="2026-06-01T00:00:00"/>
    <d v="2026-06-16T00:00:00"/>
    <n v="27201.06"/>
    <s v="Mahbub Alam"/>
    <n v="27201.06"/>
    <n v="0"/>
    <n v="76"/>
    <x v="0"/>
  </r>
  <r>
    <s v="invoices_2026-06.csv"/>
    <s v="INV-202606-0190"/>
    <s v="C009"/>
    <d v="2026-06-19T00:00:00"/>
    <d v="2026-08-03T00:00:00"/>
    <n v="98417.84"/>
    <s v="Farzana Akter"/>
    <n v="98417.84"/>
    <n v="0"/>
    <n v="28"/>
    <x v="0"/>
  </r>
  <r>
    <s v="invoices_2026-06.csv"/>
    <s v="INV-202606-0006"/>
    <s v="C006"/>
    <d v="2026-06-01T00:00:00"/>
    <d v="2026-07-16T00:00:00"/>
    <n v="21469.73"/>
    <s v="Nusrat Jahan"/>
    <n v="21469.73"/>
    <n v="0"/>
    <n v="46"/>
    <x v="0"/>
  </r>
  <r>
    <s v="invoices_2026-06.csv"/>
    <s v="INV-202606-0287"/>
    <s v="C035"/>
    <d v="2026-06-29T00:00:00"/>
    <d v="2026-08-13T00:00:00"/>
    <n v="1053387.24"/>
    <s v="Farzana Akter"/>
    <n v="1053387.24"/>
    <n v="0"/>
    <n v="18"/>
    <x v="0"/>
  </r>
  <r>
    <s v="invoices_2026-06.csv"/>
    <s v="INV-202606-0007"/>
    <s v="C026"/>
    <d v="2026-06-01T00:00:00"/>
    <d v="2026-07-01T00:00:00"/>
    <n v="1040526.48"/>
    <s v="Nusrat Jahan"/>
    <n v="1040526.48"/>
    <n v="0"/>
    <n v="61"/>
    <x v="0"/>
  </r>
  <r>
    <s v="invoices_2026-06.csv"/>
    <s v="INV-202606-0008"/>
    <s v="C014"/>
    <d v="2026-06-01T00:00:00"/>
    <d v="2026-07-31T00:00:00"/>
    <n v="108284.9"/>
    <s v="Nusrat Jahan"/>
    <n v="30358.46"/>
    <n v="77926.44"/>
    <n v="31"/>
    <x v="3"/>
  </r>
  <r>
    <s v="invoices_2026-07.csv"/>
    <s v="INV-202607-0110"/>
    <s v="C037"/>
    <d v="2026-07-14T00:00:00"/>
    <d v="2026-07-29T00:00:00"/>
    <n v="24379.79"/>
    <s v="Tanvir Ahmed"/>
    <n v="24379.79"/>
    <n v="0"/>
    <n v="33"/>
    <x v="0"/>
  </r>
  <r>
    <s v="invoices_2026-06.csv"/>
    <s v="INV-202606-0010"/>
    <s v="C035"/>
    <d v="2026-06-01T00:00:00"/>
    <d v="2026-07-16T00:00:00"/>
    <n v="2000000"/>
    <s v="Farzana Akter"/>
    <n v="2000000"/>
    <n v="0"/>
    <n v="46"/>
    <x v="0"/>
  </r>
  <r>
    <s v="invoices_2026-07.csv"/>
    <s v="INV-202607-0247"/>
    <s v="C050"/>
    <d v="2026-07-26T00:00:00"/>
    <d v="2026-08-10T00:00:00"/>
    <n v="133402.98000000001"/>
    <s v="Nusrat Jahan"/>
    <n v="133402.98000000001"/>
    <n v="0"/>
    <n v="21"/>
    <x v="0"/>
  </r>
  <r>
    <s v="invoices_2026-07.csv"/>
    <s v="INV-202607-0106"/>
    <s v="C012"/>
    <d v="2026-07-13T00:00:00"/>
    <d v="2026-08-12T00:00:00"/>
    <n v="187111.43"/>
    <s v="Shirin Sultana"/>
    <n v="187111.43"/>
    <n v="0"/>
    <n v="19"/>
    <x v="0"/>
  </r>
  <r>
    <s v="invoices_2026-07.csv"/>
    <s v="INV-202607-0138"/>
    <s v="C044"/>
    <d v="2026-07-16T00:00:00"/>
    <d v="2026-08-15T00:00:00"/>
    <n v="676459.12"/>
    <s v="Mahbub Alam"/>
    <n v="417072.69"/>
    <n v="259386.43"/>
    <n v="16"/>
    <x v="4"/>
  </r>
  <r>
    <s v="invoices_2026-07.csv"/>
    <s v="INV-202607-0190"/>
    <s v="C007"/>
    <d v="2026-07-21T00:00:00"/>
    <d v="2026-08-20T00:00:00"/>
    <n v="122402.33"/>
    <s v="Mahbub Alam"/>
    <n v="122402.33"/>
    <n v="0"/>
    <n v="11"/>
    <x v="0"/>
  </r>
  <r>
    <s v="invoices_2026-06.csv"/>
    <s v="INV-202606-0017"/>
    <s v="C007"/>
    <d v="2026-06-02T00:00:00"/>
    <d v="2026-07-02T00:00:00"/>
    <n v="1037429.25"/>
    <s v="Mahbub Alam"/>
    <n v="1037429.25"/>
    <n v="0"/>
    <n v="60"/>
    <x v="0"/>
  </r>
  <r>
    <s v="invoices_2026-06.csv"/>
    <s v="INV-202606-0166"/>
    <s v="C028"/>
    <d v="2026-06-17T00:00:00"/>
    <d v="2026-08-16T00:00:00"/>
    <n v="165325.25"/>
    <s v="Shirin Sultana"/>
    <n v="165325.25"/>
    <n v="0"/>
    <n v="15"/>
    <x v="0"/>
  </r>
  <r>
    <s v="invoices_2026-07.csv"/>
    <s v="INV-202607-0041"/>
    <s v="C035"/>
    <d v="2026-07-05T00:00:00"/>
    <d v="2026-08-19T00:00:00"/>
    <n v="119720.86"/>
    <s v="Farzana Akter"/>
    <n v="119720.86"/>
    <n v="0"/>
    <n v="12"/>
    <x v="0"/>
  </r>
  <r>
    <s v="invoices_2026-07.csv"/>
    <s v="INV-202607-0133"/>
    <s v="C036"/>
    <d v="2026-07-16T00:00:00"/>
    <d v="2026-08-15T00:00:00"/>
    <n v="11877.36"/>
    <s v="Nusrat Jahan"/>
    <n v="11877.36"/>
    <n v="0"/>
    <n v="16"/>
    <x v="0"/>
  </r>
  <r>
    <s v="invoices_2026-06.csv"/>
    <s v="INV-202606-0021"/>
    <s v="C009"/>
    <d v="2026-06-02T00:00:00"/>
    <d v="2026-07-17T00:00:00"/>
    <n v="1581842.08"/>
    <s v="Farzana Akter"/>
    <m/>
    <n v="1581842.08"/>
    <n v="45"/>
    <x v="3"/>
  </r>
  <r>
    <s v="invoices_2026-07.csv"/>
    <s v="INV-202607-0072"/>
    <s v="C009"/>
    <d v="2026-07-09T00:00:00"/>
    <d v="2026-08-23T00:00:00"/>
    <n v="794041.67"/>
    <s v="Farzana Akter"/>
    <n v="794041.67"/>
    <n v="0"/>
    <n v="8"/>
    <x v="0"/>
  </r>
  <r>
    <s v="invoices_2026-06.csv"/>
    <s v="INV-202606-0026"/>
    <s v="C004"/>
    <d v="2026-06-03T00:00:00"/>
    <d v="2026-07-18T00:00:00"/>
    <n v="764420.43"/>
    <s v="Nusrat Jahan"/>
    <n v="764420.43"/>
    <n v="0"/>
    <n v="44"/>
    <x v="0"/>
  </r>
  <r>
    <s v="invoices_2026-06.csv"/>
    <s v="INV-202606-0071"/>
    <s v="C005"/>
    <d v="2026-06-07T00:00:00"/>
    <d v="2026-07-07T00:00:00"/>
    <n v="170546.07"/>
    <s v="Mahbub Alam"/>
    <n v="170546.07"/>
    <n v="0"/>
    <n v="55"/>
    <x v="0"/>
  </r>
  <r>
    <s v="invoices_2026-06.csv"/>
    <s v="INV-202606-0175"/>
    <s v="C046"/>
    <d v="2026-06-18T00:00:00"/>
    <d v="2026-07-18T00:00:00"/>
    <n v="26269.73"/>
    <s v="Mahbub Alam"/>
    <n v="18437.78"/>
    <n v="7831.95"/>
    <n v="44"/>
    <x v="3"/>
  </r>
  <r>
    <s v="invoices_2026-06.csv"/>
    <s v="INV-202606-0225"/>
    <s v="C047"/>
    <d v="2026-06-23T00:00:00"/>
    <d v="2026-07-23T00:00:00"/>
    <n v="79779.179999999993"/>
    <s v="Nusrat Jahan"/>
    <n v="79779.179999999993"/>
    <n v="0"/>
    <n v="39"/>
    <x v="0"/>
  </r>
  <r>
    <s v="invoices_2026-06.csv"/>
    <s v="INV-202606-0281"/>
    <s v="C042"/>
    <d v="2026-06-28T00:00:00"/>
    <d v="2026-07-28T00:00:00"/>
    <n v="72640.429999999993"/>
    <s v="Nusrat Jahan"/>
    <n v="72640.429999999993"/>
    <n v="0"/>
    <n v="34"/>
    <x v="0"/>
  </r>
  <r>
    <s v="invoices_2026-07.csv"/>
    <s v="INV-202607-0033"/>
    <s v="C023"/>
    <d v="2026-07-04T00:00:00"/>
    <d v="2026-08-03T00:00:00"/>
    <n v="63990.92"/>
    <s v="Nusrat Jahan"/>
    <n v="63990.92"/>
    <n v="0"/>
    <n v="28"/>
    <x v="0"/>
  </r>
  <r>
    <s v="invoices_2026-07.csv"/>
    <s v="INV-202607-0034"/>
    <s v="C009"/>
    <d v="2026-07-04T00:00:00"/>
    <d v="2026-08-18T00:00:00"/>
    <n v="353946.87"/>
    <s v="Farzana Akter"/>
    <n v="113599.23000000001"/>
    <n v="240347.64"/>
    <n v="13"/>
    <x v="4"/>
  </r>
  <r>
    <s v="invoices_2026-07.csv"/>
    <s v="INV-202607-0222"/>
    <s v="C026"/>
    <d v="2026-07-24T00:00:00"/>
    <d v="2026-08-23T00:00:00"/>
    <n v="965060.13"/>
    <s v="Nusrat Jahan"/>
    <n v="341694.33"/>
    <n v="623365.80000000005"/>
    <n v="8"/>
    <x v="4"/>
  </r>
  <r>
    <s v="invoices_2026-06.csv"/>
    <s v="INV-202606-0033"/>
    <s v="C005"/>
    <d v="2026-06-03T00:00:00"/>
    <d v="2026-07-03T00:00:00"/>
    <n v="196549.57"/>
    <s v="Mahbub Alam"/>
    <n v="196549.57"/>
    <n v="0"/>
    <n v="59"/>
    <x v="0"/>
  </r>
  <r>
    <s v="invoices_2026-07.csv"/>
    <s v="INV-202607-0235"/>
    <s v="C038"/>
    <d v="2026-07-25T00:00:00"/>
    <d v="2026-09-23T00:00:00"/>
    <n v="420612.94"/>
    <s v="Imran Hossain"/>
    <n v="420612.94"/>
    <n v="0"/>
    <n v="-23"/>
    <x v="0"/>
  </r>
  <r>
    <s v="invoices_2026-07.csv"/>
    <s v="INV-202607-0277"/>
    <s v="C010"/>
    <d v="2026-07-29T00:00:00"/>
    <d v="2026-08-13T00:00:00"/>
    <n v="47719.12"/>
    <s v="Imran Hossain"/>
    <n v="47719.12"/>
    <n v="0"/>
    <n v="18"/>
    <x v="0"/>
  </r>
  <r>
    <s v="invoices_2026-06.csv"/>
    <s v="INV-202606-0035"/>
    <s v="C019"/>
    <d v="2026-06-03T00:00:00"/>
    <d v="2026-08-02T00:00:00"/>
    <n v="222320.5"/>
    <s v="Tanvir Ahmed"/>
    <n v="222320.5"/>
    <n v="0"/>
    <n v="29"/>
    <x v="0"/>
  </r>
  <r>
    <s v="invoices_2026-06.csv"/>
    <s v="INV-202606-0038"/>
    <s v="C041"/>
    <d v="2026-06-04T00:00:00"/>
    <d v="2026-07-04T00:00:00"/>
    <n v="15835.27"/>
    <s v="Tanvir Ahmed"/>
    <n v="15835.27"/>
    <n v="0"/>
    <n v="58"/>
    <x v="0"/>
  </r>
  <r>
    <s v="invoices_2026-06.csv"/>
    <s v="INV-202606-0158"/>
    <s v="C035"/>
    <d v="2026-06-16T00:00:00"/>
    <d v="2026-07-31T00:00:00"/>
    <n v="95205.25"/>
    <s v="Farzana Akter"/>
    <n v="95205.25"/>
    <n v="0"/>
    <n v="31"/>
    <x v="0"/>
  </r>
  <r>
    <s v="invoices_2026-06.csv"/>
    <s v="INV-202606-0039"/>
    <s v="C038"/>
    <d v="2026-06-04T00:00:00"/>
    <d v="2026-08-03T00:00:00"/>
    <n v="130744.33"/>
    <s v="Imran Hossain"/>
    <m/>
    <n v="130744.33"/>
    <n v="28"/>
    <x v="4"/>
  </r>
  <r>
    <s v="invoices_2026-06.csv"/>
    <s v="INV-202606-0195"/>
    <s v="C046"/>
    <d v="2026-06-20T00:00:00"/>
    <d v="2026-07-20T00:00:00"/>
    <n v="382706.2"/>
    <s v="Mahbub Alam"/>
    <n v="382706.2"/>
    <n v="0"/>
    <n v="42"/>
    <x v="0"/>
  </r>
  <r>
    <s v="invoices_2026-06.csv"/>
    <s v="INV-202606-0040"/>
    <s v="C020"/>
    <d v="2026-06-04T00:00:00"/>
    <d v="2026-08-03T00:00:00"/>
    <n v="463294.53"/>
    <s v="Nusrat Jahan"/>
    <n v="463294.53"/>
    <n v="0"/>
    <n v="28"/>
    <x v="0"/>
  </r>
  <r>
    <s v="invoices_2026-06.csv"/>
    <s v="INV-202606-0292"/>
    <s v="C046"/>
    <d v="2026-06-30T00:00:00"/>
    <d v="2026-07-30T00:00:00"/>
    <n v="87499.35"/>
    <s v="Mahbub Alam"/>
    <n v="87499.35"/>
    <n v="0"/>
    <n v="32"/>
    <x v="0"/>
  </r>
  <r>
    <s v="invoices_2026-07.csv"/>
    <s v="INV-202607-0002"/>
    <s v="C028"/>
    <d v="2026-07-01T00:00:00"/>
    <d v="2026-08-30T00:00:00"/>
    <n v="443080.08"/>
    <s v="Shirin Sultana"/>
    <n v="443080.08"/>
    <n v="0"/>
    <n v="1"/>
    <x v="0"/>
  </r>
  <r>
    <s v="invoices_2026-07.csv"/>
    <s v="INV-202607-0004"/>
    <s v="C010"/>
    <d v="2026-07-01T00:00:00"/>
    <d v="2026-07-16T00:00:00"/>
    <n v="34419.730000000003"/>
    <s v="Imran Hossain"/>
    <n v="34419.730000000003"/>
    <n v="0"/>
    <n v="46"/>
    <x v="0"/>
  </r>
  <r>
    <s v="invoices_2026-06.csv"/>
    <s v="INV-202606-0043"/>
    <s v="C003"/>
    <d v="2026-06-04T00:00:00"/>
    <d v="2026-07-04T00:00:00"/>
    <n v="21926.880000000001"/>
    <s v="Mahbub Alam"/>
    <n v="21926.880000000001"/>
    <n v="0"/>
    <n v="58"/>
    <x v="0"/>
  </r>
  <r>
    <s v="invoices_2026-07.csv"/>
    <s v="INV-202607-0018"/>
    <s v="C009"/>
    <d v="2026-07-02T00:00:00"/>
    <d v="2026-08-16T00:00:00"/>
    <n v="345820.59"/>
    <s v="Farzana Akter"/>
    <n v="345820.59"/>
    <n v="0"/>
    <n v="15"/>
    <x v="0"/>
  </r>
  <r>
    <s v="invoices_2026-07.csv"/>
    <s v="INV-202607-0040"/>
    <s v="C041"/>
    <d v="2026-07-05T00:00:00"/>
    <d v="2026-08-04T00:00:00"/>
    <n v="134352.46"/>
    <s v="Tanvir Ahmed"/>
    <n v="134352.46"/>
    <n v="0"/>
    <n v="27"/>
    <x v="0"/>
  </r>
  <r>
    <s v="invoices_2026-06.csv"/>
    <s v="INV-202606-0045"/>
    <s v="C009"/>
    <d v="2026-06-04T00:00:00"/>
    <d v="2026-07-19T00:00:00"/>
    <n v="266489"/>
    <s v="Farzana Akter"/>
    <n v="266489"/>
    <n v="0"/>
    <n v="43"/>
    <x v="0"/>
  </r>
  <r>
    <s v="invoices_2026-07.csv"/>
    <s v="INV-202607-0051"/>
    <s v="C005"/>
    <d v="2026-07-06T00:00:00"/>
    <d v="2026-08-05T00:00:00"/>
    <n v="371118.94"/>
    <s v="Mahbub Alam"/>
    <n v="371118.94"/>
    <n v="0"/>
    <n v="26"/>
    <x v="0"/>
  </r>
  <r>
    <s v="invoices_2026-07.csv"/>
    <s v="INV-202607-0115"/>
    <s v="C046"/>
    <d v="2026-07-14T00:00:00"/>
    <d v="2026-08-13T00:00:00"/>
    <n v="125367.96"/>
    <s v="Mahbub Alam"/>
    <n v="25589.63"/>
    <n v="99778.33"/>
    <n v="18"/>
    <x v="4"/>
  </r>
  <r>
    <s v="invoices_2026-06.csv"/>
    <s v="INV-202606-0047"/>
    <s v="C005"/>
    <d v="2026-06-04T00:00:00"/>
    <d v="2026-07-04T00:00:00"/>
    <n v="230060.89"/>
    <s v="Mahbub Alam"/>
    <m/>
    <n v="230060.89"/>
    <n v="58"/>
    <x v="3"/>
  </r>
  <r>
    <s v="invoices_2026-07.csv"/>
    <s v="INV-202607-0140"/>
    <s v="C030"/>
    <d v="2026-07-16T00:00:00"/>
    <d v="2026-08-15T00:00:00"/>
    <n v="17226.740000000002"/>
    <s v="Tanvir Ahmed"/>
    <n v="17226.740000000002"/>
    <n v="0"/>
    <n v="16"/>
    <x v="0"/>
  </r>
  <r>
    <s v="invoices_2026-06.csv"/>
    <s v="INV-202606-0048"/>
    <s v="C046"/>
    <d v="2026-06-05T00:00:00"/>
    <d v="2026-07-05T00:00:00"/>
    <n v="325765.06"/>
    <s v="Mahbub Alam"/>
    <n v="325765.06"/>
    <n v="0"/>
    <n v="57"/>
    <x v="0"/>
  </r>
  <r>
    <s v="invoices_2026-07.csv"/>
    <s v="INV-202607-0242"/>
    <s v="C010"/>
    <d v="2026-07-26T00:00:00"/>
    <d v="2026-08-10T00:00:00"/>
    <n v="24234.959999999999"/>
    <s v="Imran Hossain"/>
    <n v="24234.959999999999"/>
    <n v="0"/>
    <n v="21"/>
    <x v="0"/>
  </r>
  <r>
    <s v="invoices_2026-06.csv"/>
    <s v="INV-202606-0050"/>
    <s v="C020"/>
    <d v="2026-06-05T00:00:00"/>
    <d v="2026-08-04T00:00:00"/>
    <n v="360577.97"/>
    <s v="Nusrat Jahan"/>
    <n v="360577.97"/>
    <n v="0"/>
    <n v="27"/>
    <x v="0"/>
  </r>
  <r>
    <s v="invoices_2026-06.csv"/>
    <s v="INV-202606-0051"/>
    <s v="C023"/>
    <d v="2026-06-05T00:00:00"/>
    <d v="2026-07-05T00:00:00"/>
    <n v="57634.15"/>
    <s v="Nusrat Jahan"/>
    <n v="57634.15"/>
    <n v="0"/>
    <n v="57"/>
    <x v="0"/>
  </r>
  <r>
    <s v="invoices_2026-06.csv"/>
    <s v="INV-202606-0086"/>
    <s v="C044"/>
    <d v="2026-06-09T00:00:00"/>
    <d v="2026-07-09T00:00:00"/>
    <n v="126030.58"/>
    <s v="Mahbub Alam"/>
    <n v="126030.58"/>
    <n v="0"/>
    <n v="53"/>
    <x v="0"/>
  </r>
  <r>
    <s v="invoices_2026-06.csv"/>
    <s v="INV-202606-0053"/>
    <s v="C007"/>
    <d v="2026-06-05T00:00:00"/>
    <d v="2026-07-05T00:00:00"/>
    <n v="353607.79"/>
    <s v="Mahbub Alam"/>
    <n v="353607.79"/>
    <n v="0"/>
    <n v="57"/>
    <x v="0"/>
  </r>
  <r>
    <s v="invoices_2026-06.csv"/>
    <s v="INV-202606-0101"/>
    <s v="C046"/>
    <d v="2026-06-10T00:00:00"/>
    <d v="2026-07-10T00:00:00"/>
    <n v="85243.839999999997"/>
    <s v="Mahbub Alam"/>
    <n v="57944.4"/>
    <n v="27299.439999999999"/>
    <n v="52"/>
    <x v="3"/>
  </r>
  <r>
    <s v="invoices_2026-06.csv"/>
    <s v="INV-202606-0146"/>
    <s v="C020"/>
    <d v="2026-06-15T00:00:00"/>
    <d v="2026-08-14T00:00:00"/>
    <n v="309660.52"/>
    <s v="Nusrat Jahan"/>
    <n v="202769.16"/>
    <n v="106891.36"/>
    <n v="17"/>
    <x v="4"/>
  </r>
  <r>
    <s v="invoices_2026-06.csv"/>
    <s v="INV-202606-0055"/>
    <s v="C047"/>
    <d v="2026-06-05T00:00:00"/>
    <d v="2026-07-05T00:00:00"/>
    <n v="47476.37"/>
    <s v="Nusrat Jahan"/>
    <n v="47476.37"/>
    <n v="0"/>
    <n v="57"/>
    <x v="0"/>
  </r>
  <r>
    <s v="invoices_2026-06.csv"/>
    <s v="INV-202606-0199"/>
    <s v="C037"/>
    <d v="2026-06-21T00:00:00"/>
    <d v="2026-07-06T00:00:00"/>
    <n v="23523.34"/>
    <s v="Tanvir Ahmed"/>
    <n v="23523.34"/>
    <n v="0"/>
    <n v="56"/>
    <x v="0"/>
  </r>
  <r>
    <s v="invoices_2026-06.csv"/>
    <s v="INV-202606-0204"/>
    <s v="C003"/>
    <d v="2026-06-21T00:00:00"/>
    <d v="2026-07-21T00:00:00"/>
    <n v="52607.839999999997"/>
    <s v="Mahbub Alam"/>
    <n v="52607.839999999997"/>
    <n v="0"/>
    <n v="41"/>
    <x v="0"/>
  </r>
  <r>
    <s v="invoices_2026-06.csv"/>
    <s v="INV-202606-0057"/>
    <s v="C042"/>
    <d v="2026-06-06T00:00:00"/>
    <d v="2026-07-06T00:00:00"/>
    <n v="22299.42"/>
    <s v="Nusrat Jahan"/>
    <n v="22299.42"/>
    <n v="0"/>
    <n v="56"/>
    <x v="0"/>
  </r>
  <r>
    <s v="invoices_2026-06.csv"/>
    <s v="INV-202606-0228"/>
    <s v="C028"/>
    <d v="2026-06-23T00:00:00"/>
    <d v="2026-08-22T00:00:00"/>
    <n v="681964.28"/>
    <s v="Shirin Sultana"/>
    <n v="681964.28"/>
    <n v="0"/>
    <n v="9"/>
    <x v="0"/>
  </r>
  <r>
    <s v="invoices_2026-06.csv"/>
    <s v="INV-202606-0058"/>
    <s v="C032"/>
    <d v="2026-06-06T00:00:00"/>
    <d v="2026-07-21T00:00:00"/>
    <n v="200721"/>
    <s v="Shirin Sultana"/>
    <n v="200721"/>
    <n v="0"/>
    <n v="41"/>
    <x v="0"/>
  </r>
  <r>
    <s v="invoices_2026-07.csv"/>
    <s v="INV-202607-0026"/>
    <s v="C004"/>
    <d v="2026-07-03T00:00:00"/>
    <d v="2026-08-17T00:00:00"/>
    <n v="346081.64"/>
    <s v="Nusrat Jahan"/>
    <n v="346081.64"/>
    <n v="0"/>
    <n v="14"/>
    <x v="0"/>
  </r>
  <r>
    <s v="invoices_2026-07.csv"/>
    <s v="INV-202607-0056"/>
    <s v="C026"/>
    <d v="2026-07-07T00:00:00"/>
    <d v="2026-08-06T00:00:00"/>
    <n v="778277.15"/>
    <s v="Nusrat Jahan"/>
    <n v="778277.15"/>
    <n v="0"/>
    <n v="25"/>
    <x v="0"/>
  </r>
  <r>
    <s v="invoices_2026-06.csv"/>
    <s v="INV-202606-0060"/>
    <s v="C026"/>
    <d v="2026-06-06T00:00:00"/>
    <d v="2026-07-06T00:00:00"/>
    <n v="1164095.3700000001"/>
    <s v="Nusrat Jahan"/>
    <n v="1164095.3700000001"/>
    <n v="0"/>
    <n v="56"/>
    <x v="0"/>
  </r>
  <r>
    <s v="invoices_2026-06.csv"/>
    <s v="INV-202606-0061"/>
    <s v="C014"/>
    <d v="2026-06-06T00:00:00"/>
    <d v="2026-08-05T00:00:00"/>
    <n v="169172.44"/>
    <s v="Nusrat Jahan"/>
    <m/>
    <n v="169172.44"/>
    <n v="26"/>
    <x v="4"/>
  </r>
  <r>
    <s v="invoices_2026-06.csv"/>
    <s v="INV-202606-0065"/>
    <s v="C020"/>
    <d v="2026-06-06T00:00:00"/>
    <d v="2026-08-05T00:00:00"/>
    <n v="140550.75"/>
    <s v="Nusrat Jahan"/>
    <n v="140550.75"/>
    <n v="0"/>
    <n v="26"/>
    <x v="0"/>
  </r>
  <r>
    <s v="invoices_2026-06.csv"/>
    <s v="INV-202606-0218"/>
    <s v="C009"/>
    <d v="2026-06-23T00:00:00"/>
    <d v="2026-08-07T00:00:00"/>
    <n v="2000000"/>
    <s v="Farzana Akter"/>
    <n v="2000000"/>
    <n v="0"/>
    <n v="24"/>
    <x v="0"/>
  </r>
  <r>
    <s v="invoices_2026-06.csv"/>
    <s v="INV-202606-0246"/>
    <s v="C046"/>
    <d v="2026-06-25T00:00:00"/>
    <d v="2026-07-25T00:00:00"/>
    <n v="62804.26"/>
    <s v="Mahbub Alam"/>
    <n v="62804.26"/>
    <n v="0"/>
    <n v="37"/>
    <x v="0"/>
  </r>
  <r>
    <s v="invoices_2026-06.csv"/>
    <s v="INV-202606-0261"/>
    <s v="C027"/>
    <d v="2026-06-26T00:00:00"/>
    <d v="2026-07-11T00:00:00"/>
    <n v="12400.97"/>
    <s v="Imran Hossain"/>
    <n v="3673.1"/>
    <n v="8727.8700000000008"/>
    <n v="51"/>
    <x v="3"/>
  </r>
  <r>
    <s v="invoices_2026-07.csv"/>
    <s v="INV-202607-0017"/>
    <s v="C007"/>
    <d v="2026-07-02T00:00:00"/>
    <d v="2026-08-01T00:00:00"/>
    <n v="884580.96"/>
    <s v="Mahbub Alam"/>
    <n v="884580.96"/>
    <n v="0"/>
    <n v="30"/>
    <x v="0"/>
  </r>
  <r>
    <s v="invoices_2026-07.csv"/>
    <s v="INV-202607-0067"/>
    <s v="C026"/>
    <d v="2026-07-09T00:00:00"/>
    <d v="2026-08-08T00:00:00"/>
    <n v="649930.14"/>
    <s v="Nusrat Jahan"/>
    <n v="649930.14"/>
    <n v="0"/>
    <n v="23"/>
    <x v="0"/>
  </r>
  <r>
    <s v="invoices_2026-07.csv"/>
    <s v="INV-202607-0069"/>
    <s v="C007"/>
    <d v="2026-07-09T00:00:00"/>
    <d v="2026-08-08T00:00:00"/>
    <n v="181445.19"/>
    <s v="Mahbub Alam"/>
    <n v="181445.19"/>
    <n v="0"/>
    <n v="23"/>
    <x v="0"/>
  </r>
  <r>
    <s v="invoices_2026-07.csv"/>
    <s v="INV-202607-0092"/>
    <s v="C037"/>
    <d v="2026-07-11T00:00:00"/>
    <d v="2026-07-26T00:00:00"/>
    <n v="32185.46"/>
    <s v="Tanvir Ahmed"/>
    <n v="32185.46"/>
    <n v="0"/>
    <n v="36"/>
    <x v="0"/>
  </r>
  <r>
    <s v="invoices_2026-06.csv"/>
    <s v="INV-202606-0072"/>
    <s v="C005"/>
    <d v="2026-06-07T00:00:00"/>
    <d v="2026-07-07T00:00:00"/>
    <n v="31472.04"/>
    <s v="Mahbub Alam"/>
    <n v="31472.04"/>
    <n v="0"/>
    <n v="55"/>
    <x v="0"/>
  </r>
  <r>
    <s v="invoices_2026-07.csv"/>
    <s v="INV-202607-0108"/>
    <s v="C046"/>
    <d v="2026-07-13T00:00:00"/>
    <d v="2026-08-12T00:00:00"/>
    <n v="2000000"/>
    <s v="Mahbub Alam"/>
    <n v="2000000"/>
    <n v="0"/>
    <n v="19"/>
    <x v="0"/>
  </r>
  <r>
    <s v="invoices_2026-06.csv"/>
    <s v="INV-202606-0073"/>
    <s v="C007"/>
    <d v="2026-06-07T00:00:00"/>
    <d v="2026-07-07T00:00:00"/>
    <n v="790238.73"/>
    <s v="Mahbub Alam"/>
    <m/>
    <n v="790238.73"/>
    <n v="55"/>
    <x v="3"/>
  </r>
  <r>
    <s v="invoices_2026-07.csv"/>
    <s v="INV-202607-0126"/>
    <s v="C009"/>
    <d v="2026-07-15T00:00:00"/>
    <d v="2026-08-29T00:00:00"/>
    <n v="586036.93999999994"/>
    <s v="Farzana Akter"/>
    <n v="586036.93999999994"/>
    <n v="0"/>
    <n v="2"/>
    <x v="0"/>
  </r>
  <r>
    <s v="invoices_2026-07.csv"/>
    <s v="INV-202607-0142"/>
    <s v="C047"/>
    <d v="2026-07-17T00:00:00"/>
    <d v="2026-08-16T00:00:00"/>
    <n v="86168.89"/>
    <s v="Nusrat Jahan"/>
    <n v="86168.89"/>
    <n v="0"/>
    <n v="15"/>
    <x v="0"/>
  </r>
  <r>
    <s v="invoices_2026-07.csv"/>
    <s v="INV-202607-0152"/>
    <s v="C043"/>
    <d v="2026-07-17T00:00:00"/>
    <d v="2026-08-16T00:00:00"/>
    <n v="50423.9"/>
    <s v="Shirin Sultana"/>
    <n v="50423.9"/>
    <n v="0"/>
    <n v="15"/>
    <x v="0"/>
  </r>
  <r>
    <s v="invoices_2026-07.csv"/>
    <s v="INV-202607-0217"/>
    <s v="C007"/>
    <d v="2026-07-24T00:00:00"/>
    <d v="2026-08-23T00:00:00"/>
    <n v="294667.02"/>
    <s v="Mahbub Alam"/>
    <n v="294667.02"/>
    <n v="0"/>
    <n v="8"/>
    <x v="0"/>
  </r>
  <r>
    <s v="invoices_2026-06.csv"/>
    <s v="INV-202606-0079"/>
    <s v="C009"/>
    <d v="2026-06-08T00:00:00"/>
    <d v="2026-07-23T00:00:00"/>
    <n v="1028441.01"/>
    <s v="Farzana Akter"/>
    <n v="1028441.01"/>
    <n v="0"/>
    <n v="39"/>
    <x v="0"/>
  </r>
  <r>
    <s v="invoices_2026-06.csv"/>
    <s v="INV-202606-0080"/>
    <s v="C033"/>
    <d v="2026-06-08T00:00:00"/>
    <d v="2026-07-08T00:00:00"/>
    <n v="89886.41"/>
    <s v="Nusrat Jahan"/>
    <n v="89886.41"/>
    <n v="0"/>
    <n v="54"/>
    <x v="0"/>
  </r>
  <r>
    <s v="invoices_2026-06.csv"/>
    <s v="INV-202606-0140"/>
    <s v="C022"/>
    <d v="2026-06-14T00:00:00"/>
    <d v="2026-06-29T00:00:00"/>
    <n v="29240.79"/>
    <s v="Mahbub Alam"/>
    <n v="29240.79"/>
    <n v="0"/>
    <n v="63"/>
    <x v="0"/>
  </r>
  <r>
    <s v="invoices_2026-06.csv"/>
    <s v="INV-202606-0081"/>
    <s v="C002"/>
    <d v="2026-06-08T00:00:00"/>
    <d v="2026-07-23T00:00:00"/>
    <n v="48826.81"/>
    <s v="Tanvir Ahmed"/>
    <n v="48826.81"/>
    <n v="0"/>
    <n v="39"/>
    <x v="0"/>
  </r>
  <r>
    <s v="invoices_2026-06.csv"/>
    <s v="INV-202606-0169"/>
    <s v="C009"/>
    <d v="2026-06-17T00:00:00"/>
    <d v="2026-08-01T00:00:00"/>
    <n v="122879.21"/>
    <s v="Farzana Akter"/>
    <n v="122879.21"/>
    <n v="0"/>
    <n v="30"/>
    <x v="0"/>
  </r>
  <r>
    <s v="invoices_2026-06.csv"/>
    <s v="INV-202606-0172"/>
    <s v="C026"/>
    <d v="2026-06-18T00:00:00"/>
    <d v="2026-07-18T00:00:00"/>
    <n v="961027.82"/>
    <s v="Nusrat Jahan"/>
    <n v="961027.82"/>
    <n v="0"/>
    <n v="44"/>
    <x v="0"/>
  </r>
  <r>
    <s v="invoices_2026-06.csv"/>
    <s v="INV-202606-0083"/>
    <s v="C017"/>
    <d v="2026-06-08T00:00:00"/>
    <d v="2026-06-23T00:00:00"/>
    <n v="21307.439999999999"/>
    <s v="Tanvir Ahmed"/>
    <n v="21307.439999999999"/>
    <n v="0"/>
    <n v="69"/>
    <x v="0"/>
  </r>
  <r>
    <s v="invoices_2026-06.csv"/>
    <s v="INV-202606-0227"/>
    <s v="C033"/>
    <d v="2026-06-23T00:00:00"/>
    <d v="2026-07-23T00:00:00"/>
    <n v="131898.54999999999"/>
    <s v="Nusrat Jahan"/>
    <n v="131898.54999999999"/>
    <n v="0"/>
    <n v="39"/>
    <x v="0"/>
  </r>
  <r>
    <s v="invoices_2026-06.csv"/>
    <s v="INV-202606-0084"/>
    <s v="C045"/>
    <d v="2026-06-08T00:00:00"/>
    <d v="2026-06-23T00:00:00"/>
    <n v="22377.759999999998"/>
    <s v="Mahbub Alam"/>
    <n v="22377.759999999998"/>
    <n v="0"/>
    <n v="69"/>
    <x v="0"/>
  </r>
  <r>
    <s v="invoices_2026-07.csv"/>
    <s v="INV-202607-0076"/>
    <s v="C033"/>
    <d v="2026-07-10T00:00:00"/>
    <d v="2026-08-09T00:00:00"/>
    <n v="144024.66"/>
    <s v="Nusrat Jahan"/>
    <n v="144024.66"/>
    <n v="0"/>
    <n v="22"/>
    <x v="0"/>
  </r>
  <r>
    <s v="invoices_2026-07.csv"/>
    <s v="INV-202607-0122"/>
    <s v="C047"/>
    <d v="2026-07-14T00:00:00"/>
    <d v="2026-08-13T00:00:00"/>
    <n v="82263.47"/>
    <s v="Nusrat Jahan"/>
    <n v="82263.47"/>
    <n v="0"/>
    <n v="18"/>
    <x v="0"/>
  </r>
  <r>
    <s v="invoices_2026-06.csv"/>
    <s v="INV-202606-0087"/>
    <s v="C002"/>
    <d v="2026-06-09T00:00:00"/>
    <d v="2026-07-24T00:00:00"/>
    <n v="59236.95"/>
    <s v="Tanvir Ahmed"/>
    <n v="59236.95"/>
    <n v="0"/>
    <n v="38"/>
    <x v="0"/>
  </r>
  <r>
    <s v="invoices_2026-06.csv"/>
    <s v="INV-202606-0088"/>
    <s v="C020"/>
    <d v="2026-06-09T00:00:00"/>
    <d v="2026-08-08T00:00:00"/>
    <n v="162068.39000000001"/>
    <s v="Nusrat Jahan"/>
    <n v="162068.39000000001"/>
    <n v="0"/>
    <n v="23"/>
    <x v="0"/>
  </r>
  <r>
    <s v="invoices_2026-06.csv"/>
    <s v="INV-202606-0089"/>
    <s v="C043"/>
    <d v="2026-06-09T00:00:00"/>
    <d v="2026-07-09T00:00:00"/>
    <n v="87907.7"/>
    <s v="Shirin Sultana"/>
    <m/>
    <n v="87907.7"/>
    <n v="53"/>
    <x v="3"/>
  </r>
  <r>
    <s v="invoices_2026-06.csv"/>
    <s v="INV-202606-0090"/>
    <s v="C046"/>
    <d v="2026-06-09T00:00:00"/>
    <d v="2026-07-09T00:00:00"/>
    <n v="453908.08"/>
    <s v="Mahbub Alam"/>
    <n v="327092.28999999998"/>
    <n v="126815.79"/>
    <n v="53"/>
    <x v="3"/>
  </r>
  <r>
    <s v="invoices_2026-06.csv"/>
    <s v="INV-202606-0110"/>
    <s v="C044"/>
    <d v="2026-06-11T00:00:00"/>
    <d v="2026-07-11T00:00:00"/>
    <n v="475104.7"/>
    <s v="Mahbub Alam"/>
    <n v="475104.7"/>
    <n v="0"/>
    <n v="51"/>
    <x v="0"/>
  </r>
  <r>
    <s v="invoices_2026-06.csv"/>
    <s v="INV-202606-0110"/>
    <s v="C044"/>
    <d v="2026-06-11T00:00:00"/>
    <d v="2026-07-11T00:00:00"/>
    <n v="475104.7"/>
    <s v="Mahbub Alam"/>
    <n v="475104.7"/>
    <n v="0"/>
    <n v="51"/>
    <x v="0"/>
  </r>
  <r>
    <s v="invoices_2026-06.csv"/>
    <s v="INV-202606-0132"/>
    <s v="C019"/>
    <d v="2026-06-13T00:00:00"/>
    <d v="2026-08-12T00:00:00"/>
    <n v="147066.21"/>
    <s v="Tanvir Ahmed"/>
    <n v="147066.21"/>
    <n v="0"/>
    <n v="19"/>
    <x v="0"/>
  </r>
  <r>
    <s v="invoices_2026-06.csv"/>
    <s v="INV-202606-0092"/>
    <s v="C032"/>
    <d v="2026-06-09T00:00:00"/>
    <d v="2026-07-24T00:00:00"/>
    <n v="925819.57"/>
    <s v="Shirin Sultana"/>
    <n v="925819.57"/>
    <n v="0"/>
    <n v="38"/>
    <x v="0"/>
  </r>
  <r>
    <s v="invoices_2026-06.csv"/>
    <s v="INV-202606-0244"/>
    <s v="C036"/>
    <d v="2026-06-25T00:00:00"/>
    <d v="2026-07-25T00:00:00"/>
    <n v="55490.65"/>
    <s v="Nusrat Jahan"/>
    <n v="55490.65"/>
    <n v="0"/>
    <n v="37"/>
    <x v="0"/>
  </r>
  <r>
    <s v="invoices_2026-06.csv"/>
    <s v="INV-202606-0093"/>
    <s v="C039"/>
    <d v="2026-06-09T00:00:00"/>
    <d v="2026-06-24T00:00:00"/>
    <n v="16616.78"/>
    <s v="Mahbub Alam"/>
    <n v="16616.78"/>
    <n v="0"/>
    <n v="68"/>
    <x v="0"/>
  </r>
  <r>
    <s v="invoices_2026-06.csv"/>
    <s v="INV-202606-0257"/>
    <s v="C031"/>
    <d v="2026-06-26T00:00:00"/>
    <d v="2026-07-26T00:00:00"/>
    <n v="166906.65"/>
    <s v="Tanvir Ahmed"/>
    <n v="166906.65"/>
    <n v="0"/>
    <n v="36"/>
    <x v="0"/>
  </r>
  <r>
    <s v="invoices_2026-07.csv"/>
    <s v="INV-202607-0064"/>
    <s v="C024"/>
    <d v="2026-07-08T00:00:00"/>
    <d v="2026-08-07T00:00:00"/>
    <n v="76109.58"/>
    <s v="Farzana Akter"/>
    <n v="76109.58"/>
    <n v="0"/>
    <n v="24"/>
    <x v="0"/>
  </r>
  <r>
    <s v="invoices_2026-07.csv"/>
    <s v="INV-202607-0083"/>
    <s v="C007"/>
    <d v="2026-07-10T00:00:00"/>
    <d v="2026-08-09T00:00:00"/>
    <n v="1108504.67"/>
    <s v="Mahbub Alam"/>
    <n v="1108504.67"/>
    <n v="0"/>
    <n v="22"/>
    <x v="0"/>
  </r>
  <r>
    <s v="invoices_2026-06.csv"/>
    <s v="INV-202606-0096"/>
    <s v="C060"/>
    <d v="2026-06-10T00:00:00"/>
    <d v="2026-07-10T00:00:00"/>
    <n v="1342415.82"/>
    <s v="Nusrat Jahan"/>
    <m/>
    <n v="1342415.82"/>
    <n v="52"/>
    <x v="3"/>
  </r>
  <r>
    <s v="invoices_2026-07.csv"/>
    <s v="INV-202607-0148"/>
    <s v="C040"/>
    <d v="2026-07-17T00:00:00"/>
    <d v="2026-09-15T00:00:00"/>
    <n v="150942.16"/>
    <s v="Nusrat Jahan"/>
    <n v="62626.98"/>
    <n v="88315.18"/>
    <n v="-15"/>
    <x v="5"/>
  </r>
  <r>
    <s v="invoices_2026-06.csv"/>
    <s v="INV-202606-0097"/>
    <s v="C009"/>
    <d v="2026-06-10T00:00:00"/>
    <d v="2026-07-25T00:00:00"/>
    <n v="203671.71"/>
    <s v="Farzana Akter"/>
    <n v="203671.71"/>
    <n v="0"/>
    <n v="37"/>
    <x v="0"/>
  </r>
  <r>
    <s v="invoices_2026-07.csv"/>
    <s v="INV-202607-0178"/>
    <s v="C007"/>
    <d v="2026-07-19T00:00:00"/>
    <d v="2026-08-18T00:00:00"/>
    <n v="505604.79"/>
    <s v="Mahbub Alam"/>
    <n v="505604.79"/>
    <n v="0"/>
    <n v="13"/>
    <x v="0"/>
  </r>
  <r>
    <s v="invoices_2026-07.csv"/>
    <s v="INV-202607-0197"/>
    <s v="C033"/>
    <d v="2026-07-22T00:00:00"/>
    <d v="2026-08-21T00:00:00"/>
    <n v="422412.48"/>
    <s v="Nusrat Jahan"/>
    <n v="422412.48"/>
    <n v="0"/>
    <n v="10"/>
    <x v="0"/>
  </r>
  <r>
    <s v="invoices_2026-07.csv"/>
    <s v="INV-202607-0207"/>
    <s v="C024"/>
    <d v="2026-07-23T00:00:00"/>
    <d v="2026-08-22T00:00:00"/>
    <n v="36050.699999999997"/>
    <s v="Farzana Akter"/>
    <n v="16353.43"/>
    <n v="19697.27"/>
    <n v="9"/>
    <x v="4"/>
  </r>
  <r>
    <s v="invoices_2026-07.csv"/>
    <s v="INV-202607-0234"/>
    <s v="C010"/>
    <d v="2026-07-25T00:00:00"/>
    <d v="2026-08-09T00:00:00"/>
    <n v="48466.02"/>
    <s v="Imran Hossain"/>
    <n v="48466.02"/>
    <n v="0"/>
    <n v="22"/>
    <x v="0"/>
  </r>
  <r>
    <s v="invoices_2026-07.csv"/>
    <s v="INV-202607-0238"/>
    <s v="C027"/>
    <d v="2026-07-26T00:00:00"/>
    <d v="2026-08-10T00:00:00"/>
    <n v="12513.11"/>
    <s v="Imran Hossain"/>
    <n v="12513.11"/>
    <n v="0"/>
    <n v="21"/>
    <x v="0"/>
  </r>
  <r>
    <s v="invoices_2026-06.csv"/>
    <s v="INV-202606-0102"/>
    <s v="C007"/>
    <d v="2026-06-10T00:00:00"/>
    <d v="2026-07-10T00:00:00"/>
    <n v="798147.48"/>
    <s v="Mahbub Alam"/>
    <n v="798147.48"/>
    <n v="0"/>
    <n v="52"/>
    <x v="0"/>
  </r>
  <r>
    <s v="invoices_2026-07.csv"/>
    <s v="INV-202607-0240"/>
    <s v="C035"/>
    <d v="2026-07-26T00:00:00"/>
    <d v="2026-09-09T00:00:00"/>
    <n v="2000000"/>
    <s v="Farzana Akter"/>
    <n v="2000000"/>
    <n v="0"/>
    <n v="-9"/>
    <x v="0"/>
  </r>
  <r>
    <s v="invoices_2026-07.csv"/>
    <s v="INV-202607-0259"/>
    <s v="C012"/>
    <d v="2026-07-27T00:00:00"/>
    <d v="2026-08-26T00:00:00"/>
    <n v="61511.81"/>
    <s v="Shirin Sultana"/>
    <n v="61511.81"/>
    <n v="0"/>
    <n v="5"/>
    <x v="0"/>
  </r>
  <r>
    <s v="invoices_2026-06.csv"/>
    <s v="INV-202606-0104"/>
    <s v="C004"/>
    <d v="2026-06-10T00:00:00"/>
    <d v="2026-07-25T00:00:00"/>
    <n v="355310.28"/>
    <s v="Nusrat Jahan"/>
    <n v="223451.12"/>
    <n v="131859.16"/>
    <n v="37"/>
    <x v="3"/>
  </r>
  <r>
    <s v="invoices_2026-06.csv"/>
    <s v="INV-202606-0105"/>
    <s v="C045"/>
    <d v="2026-06-10T00:00:00"/>
    <d v="2026-06-25T00:00:00"/>
    <n v="36516.839999999997"/>
    <s v="Mahbub Alam"/>
    <n v="36516.839999999997"/>
    <n v="0"/>
    <n v="67"/>
    <x v="0"/>
  </r>
  <r>
    <s v="invoices_2026-06.csv"/>
    <s v="INV-202606-0143"/>
    <s v="C041"/>
    <d v="2026-06-15T00:00:00"/>
    <d v="2026-07-15T00:00:00"/>
    <n v="44602.14"/>
    <s v="Tanvir Ahmed"/>
    <n v="44602.14"/>
    <n v="0"/>
    <n v="47"/>
    <x v="0"/>
  </r>
  <r>
    <s v="invoices_2026-06.csv"/>
    <s v="INV-202606-0220"/>
    <s v="C018"/>
    <d v="2026-06-23T00:00:00"/>
    <d v="2026-07-23T00:00:00"/>
    <n v="543091.56999999995"/>
    <s v="Shirin Sultana"/>
    <n v="543091.56999999995"/>
    <n v="0"/>
    <n v="39"/>
    <x v="0"/>
  </r>
  <r>
    <s v="invoices_2026-06.csv"/>
    <s v="INV-202606-0109"/>
    <s v="C003"/>
    <d v="2026-06-11T00:00:00"/>
    <d v="2026-07-11T00:00:00"/>
    <n v="16167.82"/>
    <s v="Mahbub Alam"/>
    <n v="16167.82"/>
    <n v="0"/>
    <n v="51"/>
    <x v="0"/>
  </r>
  <r>
    <s v="invoices_2026-06.csv"/>
    <s v="INV-202606-0232"/>
    <s v="C028"/>
    <d v="2026-06-23T00:00:00"/>
    <d v="2026-08-22T00:00:00"/>
    <n v="136817.41"/>
    <s v="Shirin Sultana"/>
    <n v="136817.41"/>
    <n v="0"/>
    <n v="9"/>
    <x v="0"/>
  </r>
  <r>
    <s v="invoices_2026-07.csv"/>
    <s v="INV-202607-0005"/>
    <s v="C004"/>
    <d v="2026-07-01T00:00:00"/>
    <d v="2026-08-15T00:00:00"/>
    <n v="196692.9"/>
    <s v="Nusrat Jahan"/>
    <n v="196692.9"/>
    <n v="0"/>
    <n v="16"/>
    <x v="0"/>
  </r>
  <r>
    <s v="invoices_2026-06.csv"/>
    <s v="INV-202606-0111"/>
    <s v="C004"/>
    <d v="2026-06-11T00:00:00"/>
    <d v="2026-07-26T00:00:00"/>
    <n v="1205777.1200000001"/>
    <s v="Nusrat Jahan"/>
    <n v="1205777.1200000001"/>
    <n v="0"/>
    <n v="36"/>
    <x v="0"/>
  </r>
  <r>
    <s v="invoices_2026-07.csv"/>
    <s v="INV-202607-0023"/>
    <s v="C011"/>
    <d v="2026-07-03T00:00:00"/>
    <d v="2026-09-01T00:00:00"/>
    <n v="318673.98"/>
    <s v="Imran Hossain"/>
    <n v="109530.44"/>
    <n v="209143.54"/>
    <n v="-1"/>
    <x v="5"/>
  </r>
  <r>
    <s v="invoices_2026-07.csv"/>
    <s v="INV-202607-0024"/>
    <s v="C041"/>
    <d v="2026-07-03T00:00:00"/>
    <d v="2026-08-02T00:00:00"/>
    <n v="68933.03"/>
    <s v="Tanvir Ahmed"/>
    <n v="68933.03"/>
    <n v="0"/>
    <n v="29"/>
    <x v="0"/>
  </r>
  <r>
    <s v="invoices_2026-07.csv"/>
    <s v="INV-202607-0074"/>
    <s v="C030"/>
    <d v="2026-07-09T00:00:00"/>
    <d v="2026-08-08T00:00:00"/>
    <n v="117683.1"/>
    <s v="Tanvir Ahmed"/>
    <n v="117683.1"/>
    <n v="0"/>
    <n v="23"/>
    <x v="0"/>
  </r>
  <r>
    <s v="invoices_2026-07.csv"/>
    <s v="INV-202607-0082"/>
    <s v="C035"/>
    <d v="2026-07-10T00:00:00"/>
    <d v="2026-08-24T00:00:00"/>
    <n v="213119.32"/>
    <s v="Farzana Akter"/>
    <n v="213119.32"/>
    <n v="0"/>
    <n v="7"/>
    <x v="0"/>
  </r>
  <r>
    <s v="invoices_2026-06.csv"/>
    <s v="INV-202606-0115"/>
    <s v="C024"/>
    <d v="2026-06-11T00:00:00"/>
    <d v="2026-07-11T00:00:00"/>
    <n v="71287.520000000004"/>
    <s v="Farzana Akter"/>
    <n v="39700.75"/>
    <n v="31586.77"/>
    <n v="51"/>
    <x v="3"/>
  </r>
  <r>
    <s v="invoices_2026-07.csv"/>
    <s v="INV-202607-0088"/>
    <s v="C030"/>
    <d v="2026-07-11T00:00:00"/>
    <d v="2026-08-10T00:00:00"/>
    <n v="70200.52"/>
    <s v="Tanvir Ahmed"/>
    <n v="70200.52"/>
    <n v="0"/>
    <n v="21"/>
    <x v="0"/>
  </r>
  <r>
    <s v="invoices_2026-06.csv"/>
    <s v="INV-202606-0116"/>
    <s v="C018"/>
    <d v="2026-06-12T00:00:00"/>
    <d v="2026-07-12T00:00:00"/>
    <n v="74308.78"/>
    <s v="Shirin Sultana"/>
    <n v="74308.78"/>
    <n v="0"/>
    <n v="50"/>
    <x v="0"/>
  </r>
  <r>
    <s v="invoices_2026-07.csv"/>
    <s v="INV-202607-0097"/>
    <s v="C043"/>
    <d v="2026-07-12T00:00:00"/>
    <d v="2026-08-11T00:00:00"/>
    <n v="91988.77"/>
    <s v="Shirin Sultana"/>
    <n v="91988.77"/>
    <n v="0"/>
    <n v="20"/>
    <x v="0"/>
  </r>
  <r>
    <s v="invoices_2026-07.csv"/>
    <s v="INV-202607-0130"/>
    <s v="C038"/>
    <d v="2026-07-15T00:00:00"/>
    <d v="2026-09-13T00:00:00"/>
    <n v="38995.449999999997"/>
    <s v="Imran Hossain"/>
    <n v="38995.449999999997"/>
    <n v="0"/>
    <n v="-13"/>
    <x v="0"/>
  </r>
  <r>
    <s v="invoices_2026-06.csv"/>
    <s v="INV-202606-0118"/>
    <s v="C009"/>
    <d v="2026-06-12T00:00:00"/>
    <d v="2026-07-27T00:00:00"/>
    <n v="173685.65"/>
    <s v="Farzana Akter"/>
    <n v="173685.65"/>
    <n v="0"/>
    <n v="35"/>
    <x v="0"/>
  </r>
  <r>
    <s v="invoices_2026-07.csv"/>
    <s v="INV-202607-0151"/>
    <s v="C003"/>
    <d v="2026-07-17T00:00:00"/>
    <d v="2026-08-16T00:00:00"/>
    <n v="34050.800000000003"/>
    <s v="Mahbub Alam"/>
    <n v="34050.800000000003"/>
    <n v="0"/>
    <n v="15"/>
    <x v="0"/>
  </r>
  <r>
    <s v="invoices_2026-06.csv"/>
    <s v="INV-202606-0119"/>
    <s v="C006"/>
    <d v="2026-06-12T00:00:00"/>
    <d v="2026-07-27T00:00:00"/>
    <n v="42748.62"/>
    <s v="Nusrat Jahan"/>
    <n v="42748.62"/>
    <n v="0"/>
    <n v="35"/>
    <x v="0"/>
  </r>
  <r>
    <s v="invoices_2026-07.csv"/>
    <s v="INV-202607-0192"/>
    <s v="C007"/>
    <d v="2026-07-21T00:00:00"/>
    <d v="2026-08-20T00:00:00"/>
    <n v="565680.36"/>
    <s v="Mahbub Alam"/>
    <n v="565680.36"/>
    <n v="0"/>
    <n v="11"/>
    <x v="0"/>
  </r>
  <r>
    <s v="invoices_2026-06.csv"/>
    <s v="INV-202606-0120"/>
    <s v="C016"/>
    <d v="2026-06-12T00:00:00"/>
    <d v="2026-07-12T00:00:00"/>
    <n v="48048.92"/>
    <s v="Shirin Sultana"/>
    <n v="48048.92"/>
    <n v="0"/>
    <n v="50"/>
    <x v="0"/>
  </r>
  <r>
    <s v="invoices_2026-07.csv"/>
    <s v="INV-202607-0250"/>
    <s v="C017"/>
    <d v="2026-07-27T00:00:00"/>
    <d v="2026-08-11T00:00:00"/>
    <n v="22528.71"/>
    <s v="Tanvir Ahmed"/>
    <n v="22528.71"/>
    <n v="0"/>
    <n v="20"/>
    <x v="0"/>
  </r>
  <r>
    <s v="invoices_2026-06.csv"/>
    <s v="INV-202606-0121"/>
    <s v="C021"/>
    <d v="2026-06-12T00:00:00"/>
    <d v="2026-07-12T00:00:00"/>
    <n v="166981.01"/>
    <s v="Mahbub Alam"/>
    <n v="166981.01"/>
    <n v="0"/>
    <n v="50"/>
    <x v="0"/>
  </r>
  <r>
    <s v="invoices_2026-07.csv"/>
    <s v="INV-202607-0266"/>
    <s v="C045"/>
    <d v="2026-07-28T00:00:00"/>
    <d v="2026-08-12T00:00:00"/>
    <n v="29270.080000000002"/>
    <s v="Mahbub Alam"/>
    <n v="29270.080000000002"/>
    <n v="0"/>
    <n v="19"/>
    <x v="0"/>
  </r>
  <r>
    <s v="invoices_2026-06.csv"/>
    <s v="INV-202606-0127"/>
    <s v="C035"/>
    <d v="2026-06-13T00:00:00"/>
    <d v="2026-07-28T00:00:00"/>
    <n v="562515.16"/>
    <s v="Farzana Akter"/>
    <n v="562515.16"/>
    <n v="0"/>
    <n v="34"/>
    <x v="0"/>
  </r>
  <r>
    <s v="invoices_2026-06.csv"/>
    <s v="INV-202606-0129"/>
    <s v="C048"/>
    <d v="2026-06-13T00:00:00"/>
    <d v="2026-07-13T00:00:00"/>
    <n v="49728.03"/>
    <s v="Imran Hossain"/>
    <n v="15515.76"/>
    <n v="34212.269999999997"/>
    <n v="49"/>
    <x v="3"/>
  </r>
  <r>
    <s v="invoices_2026-06.csv"/>
    <s v="INV-202606-0130"/>
    <s v="C016"/>
    <d v="2026-06-13T00:00:00"/>
    <d v="2026-07-13T00:00:00"/>
    <n v="66045.56"/>
    <s v="Shirin Sultana"/>
    <n v="66045.56"/>
    <n v="0"/>
    <n v="49"/>
    <x v="0"/>
  </r>
  <r>
    <s v="invoices_2026-06.csv"/>
    <s v="INV-202606-0222"/>
    <s v="C040"/>
    <d v="2026-06-23T00:00:00"/>
    <d v="2026-08-22T00:00:00"/>
    <n v="28881.83"/>
    <s v="Nusrat Jahan"/>
    <n v="28881.83"/>
    <n v="0"/>
    <n v="9"/>
    <x v="0"/>
  </r>
  <r>
    <s v="invoices_2026-06.csv"/>
    <s v="INV-202606-0260"/>
    <s v="C024"/>
    <d v="2026-06-26T00:00:00"/>
    <d v="2026-07-26T00:00:00"/>
    <n v="38761.379999999997"/>
    <s v="Farzana Akter"/>
    <n v="38761.379999999997"/>
    <n v="0"/>
    <n v="36"/>
    <x v="0"/>
  </r>
  <r>
    <s v="invoices_2026-06.csv"/>
    <s v="INV-202606-0272"/>
    <s v="C032"/>
    <d v="2026-06-27T00:00:00"/>
    <d v="2026-08-11T00:00:00"/>
    <n v="321040.61"/>
    <s v="Shirin Sultana"/>
    <n v="321040.61"/>
    <n v="0"/>
    <n v="20"/>
    <x v="0"/>
  </r>
  <r>
    <s v="invoices_2026-07.csv"/>
    <s v="INV-202607-0009"/>
    <s v="C014"/>
    <d v="2026-07-01T00:00:00"/>
    <d v="2026-08-30T00:00:00"/>
    <n v="135891.32"/>
    <s v="Nusrat Jahan"/>
    <n v="135891.32"/>
    <n v="0"/>
    <n v="1"/>
    <x v="0"/>
  </r>
  <r>
    <s v="invoices_2026-06.csv"/>
    <s v="INV-202606-0136"/>
    <s v="C014"/>
    <d v="2026-06-14T00:00:00"/>
    <d v="2026-08-13T00:00:00"/>
    <n v="465973.42"/>
    <s v="Nusrat Jahan"/>
    <n v="465973.42000000004"/>
    <n v="-"/>
    <n v="18"/>
    <x v="0"/>
  </r>
  <r>
    <s v="invoices_2026-07.csv"/>
    <s v="INV-202607-0052"/>
    <s v="C030"/>
    <d v="2026-07-06T00:00:00"/>
    <d v="2026-08-05T00:00:00"/>
    <n v="34349.18"/>
    <s v="Tanvir Ahmed"/>
    <n v="34349.18"/>
    <n v="0"/>
    <n v="26"/>
    <x v="0"/>
  </r>
  <r>
    <s v="invoices_2026-07.csv"/>
    <s v="INV-202607-0116"/>
    <s v="C003"/>
    <d v="2026-07-14T00:00:00"/>
    <d v="2026-08-13T00:00:00"/>
    <n v="6744.4"/>
    <s v="Mahbub Alam"/>
    <n v="6744.4"/>
    <n v="0"/>
    <n v="18"/>
    <x v="0"/>
  </r>
  <r>
    <s v="invoices_2026-07.csv"/>
    <s v="INV-202607-0143"/>
    <s v="C007"/>
    <d v="2026-07-17T00:00:00"/>
    <d v="2026-08-16T00:00:00"/>
    <n v="560937.81999999995"/>
    <s v="Mahbub Alam"/>
    <n v="560937.81999999995"/>
    <n v="0"/>
    <n v="15"/>
    <x v="0"/>
  </r>
  <r>
    <s v="invoices_2026-06.csv"/>
    <s v="INV-202606-0139"/>
    <s v="C032"/>
    <d v="2026-06-14T00:00:00"/>
    <d v="2026-07-29T00:00:00"/>
    <n v="2000000"/>
    <s v="Shirin Sultana"/>
    <m/>
    <n v="2000000"/>
    <n v="33"/>
    <x v="3"/>
  </r>
  <r>
    <s v="invoices_2026-06.csv"/>
    <s v="INV-202606-0144"/>
    <s v="C048"/>
    <d v="2026-06-15T00:00:00"/>
    <d v="2026-07-15T00:00:00"/>
    <n v="23985.73"/>
    <s v="Imran Hossain"/>
    <n v="23985.73"/>
    <n v="0"/>
    <n v="47"/>
    <x v="0"/>
  </r>
  <r>
    <s v="invoices_2026-06.csv"/>
    <s v="INV-202606-0179"/>
    <s v="C015"/>
    <d v="2026-06-18T00:00:00"/>
    <d v="2026-07-18T00:00:00"/>
    <n v="50217.83"/>
    <s v="Nusrat Jahan"/>
    <n v="31542.39"/>
    <n v="18675.439999999999"/>
    <n v="44"/>
    <x v="3"/>
  </r>
  <r>
    <s v="invoices_2026-06.csv"/>
    <s v="INV-202606-0145"/>
    <s v="C047"/>
    <d v="2026-06-15T00:00:00"/>
    <d v="2026-07-15T00:00:00"/>
    <n v="199407.75"/>
    <s v="Nusrat Jahan"/>
    <n v="199407.75"/>
    <n v="0"/>
    <n v="47"/>
    <x v="0"/>
  </r>
  <r>
    <s v="invoices_2026-06.csv"/>
    <s v="INV-202606-0201"/>
    <s v="C035"/>
    <d v="2026-06-21T00:00:00"/>
    <d v="2026-08-05T00:00:00"/>
    <n v="1147673.67"/>
    <s v="Farzana Akter"/>
    <n v="1147673.67"/>
    <n v="0"/>
    <n v="26"/>
    <x v="0"/>
  </r>
  <r>
    <s v="invoices_2026-06.csv"/>
    <s v="INV-202606-0289"/>
    <s v="C026"/>
    <d v="2026-06-29T00:00:00"/>
    <d v="2026-07-29T00:00:00"/>
    <n v="143035.41"/>
    <s v="Nusrat Jahan"/>
    <n v="143035.41"/>
    <n v="0"/>
    <n v="33"/>
    <x v="0"/>
  </r>
  <r>
    <s v="invoices_2026-06.csv"/>
    <s v="INV-202606-0147"/>
    <s v="C015"/>
    <d v="2026-06-15T00:00:00"/>
    <d v="2026-07-15T00:00:00"/>
    <n v="31410.04"/>
    <s v="Nusrat Jahan"/>
    <n v="31410.04"/>
    <n v="0"/>
    <n v="47"/>
    <x v="0"/>
  </r>
  <r>
    <s v="invoices_2026-07.csv"/>
    <s v="INV-202607-0019"/>
    <s v="C019"/>
    <d v="2026-07-02T00:00:00"/>
    <d v="2026-08-31T00:00:00"/>
    <n v="204545.5"/>
    <s v="Tanvir Ahmed"/>
    <n v="204545.5"/>
    <n v="0"/>
    <n v="0"/>
    <x v="0"/>
  </r>
  <r>
    <s v="invoices_2026-07.csv"/>
    <s v="INV-202607-0053"/>
    <s v="C044"/>
    <d v="2026-07-07T00:00:00"/>
    <d v="2026-08-06T00:00:00"/>
    <n v="174655.37"/>
    <s v="Mahbub Alam"/>
    <n v="174655.37"/>
    <n v="0"/>
    <n v="25"/>
    <x v="0"/>
  </r>
  <r>
    <s v="invoices_2026-06.csv"/>
    <s v="INV-202606-0149"/>
    <s v="C045"/>
    <d v="2026-06-15T00:00:00"/>
    <d v="2026-06-30T00:00:00"/>
    <n v="43927.47"/>
    <s v="Mahbub Alam"/>
    <n v="43927.47"/>
    <n v="0"/>
    <n v="62"/>
    <x v="0"/>
  </r>
  <r>
    <s v="invoices_2026-07.csv"/>
    <s v="INV-202607-0077"/>
    <s v="C010"/>
    <d v="2026-07-10T00:00:00"/>
    <d v="2026-07-25T00:00:00"/>
    <n v="59512.15"/>
    <s v="Imran Hossain"/>
    <n v="59512.15"/>
    <n v="0"/>
    <n v="37"/>
    <x v="0"/>
  </r>
  <r>
    <s v="invoices_2026-06.csv"/>
    <s v="INV-202606-0150"/>
    <s v="C026"/>
    <d v="2026-06-15T00:00:00"/>
    <d v="2026-07-15T00:00:00"/>
    <n v="491338.04"/>
    <s v="Nusrat Jahan"/>
    <n v="491338.04"/>
    <n v="0"/>
    <n v="47"/>
    <x v="0"/>
  </r>
  <r>
    <s v="invoices_2026-07.csv"/>
    <s v="INV-202607-0089"/>
    <s v="C033"/>
    <d v="2026-07-11T00:00:00"/>
    <d v="2026-08-10T00:00:00"/>
    <n v="54144.53"/>
    <s v="Nusrat Jahan"/>
    <n v="54144.53"/>
    <n v="0"/>
    <n v="21"/>
    <x v="0"/>
  </r>
  <r>
    <s v="invoices_2026-06.csv"/>
    <s v="INV-202606-0151"/>
    <s v="C047"/>
    <d v="2026-06-15T00:00:00"/>
    <d v="2026-07-15T00:00:00"/>
    <n v="59032.88"/>
    <s v="Nusrat Jahan"/>
    <n v="59032.88"/>
    <n v="0"/>
    <n v="47"/>
    <x v="0"/>
  </r>
  <r>
    <s v="invoices_2026-07.csv"/>
    <s v="INV-202607-0164"/>
    <s v="C023"/>
    <d v="2026-07-18T00:00:00"/>
    <d v="2026-08-17T00:00:00"/>
    <n v="29495.040000000001"/>
    <s v="Nusrat Jahan"/>
    <n v="29495.040000000001"/>
    <n v="0"/>
    <n v="14"/>
    <x v="0"/>
  </r>
  <r>
    <s v="invoices_2026-06.csv"/>
    <s v="INV-202606-0152"/>
    <s v="C028"/>
    <d v="2026-06-16T00:00:00"/>
    <d v="2026-08-15T00:00:00"/>
    <n v="565519.84"/>
    <s v="Shirin Sultana"/>
    <n v="565519.84"/>
    <n v="0"/>
    <n v="16"/>
    <x v="0"/>
  </r>
  <r>
    <s v="invoices_2026-07.csv"/>
    <s v="INV-202607-0184"/>
    <s v="C001"/>
    <d v="2026-07-20T00:00:00"/>
    <d v="2026-08-04T00:00:00"/>
    <n v="55085.59"/>
    <s v="Nusrat Jahan"/>
    <n v="55085.59"/>
    <n v="0"/>
    <n v="27"/>
    <x v="0"/>
  </r>
  <r>
    <s v="invoices_2026-07.csv"/>
    <s v="INV-202607-0191"/>
    <s v="C030"/>
    <d v="2026-07-21T00:00:00"/>
    <d v="2026-08-20T00:00:00"/>
    <n v="18182.689999999999"/>
    <s v="Tanvir Ahmed"/>
    <n v="18182.689999999999"/>
    <n v="0"/>
    <n v="11"/>
    <x v="0"/>
  </r>
  <r>
    <s v="invoices_2026-06.csv"/>
    <s v="INV-202606-0154"/>
    <s v="C006"/>
    <d v="2026-06-16T00:00:00"/>
    <d v="2026-07-31T00:00:00"/>
    <n v="78556.23"/>
    <s v="Nusrat Jahan"/>
    <n v="78556.23"/>
    <n v="0"/>
    <n v="31"/>
    <x v="0"/>
  </r>
  <r>
    <s v="invoices_2026-07.csv"/>
    <s v="INV-202607-0251"/>
    <s v="C045"/>
    <d v="2026-07-27T00:00:00"/>
    <d v="2026-08-11T00:00:00"/>
    <n v="23701.17"/>
    <s v="Mahbub Alam"/>
    <n v="12982.71"/>
    <n v="10718.46"/>
    <n v="20"/>
    <x v="4"/>
  </r>
  <r>
    <s v="invoices_2026-07.csv"/>
    <s v="INV-202607-0265"/>
    <s v="C047"/>
    <d v="2026-07-28T00:00:00"/>
    <d v="2026-08-27T00:00:00"/>
    <n v="689063.48"/>
    <s v="Nusrat Jahan"/>
    <n v="498278.31000000006"/>
    <n v="190785.17"/>
    <n v="4"/>
    <x v="4"/>
  </r>
  <r>
    <s v="invoices_2026-06.csv"/>
    <s v="INV-202606-0156"/>
    <s v="C008"/>
    <d v="2026-06-16T00:00:00"/>
    <d v="2026-07-31T00:00:00"/>
    <n v="2000000"/>
    <s v="Shirin Sultana"/>
    <n v="2000000"/>
    <n v="0"/>
    <n v="31"/>
    <x v="0"/>
  </r>
  <r>
    <s v="invoices_2026-06.csv"/>
    <s v="INV-202606-0157"/>
    <s v="C007"/>
    <d v="2026-06-16T00:00:00"/>
    <d v="2026-07-16T00:00:00"/>
    <n v="295854.53000000003"/>
    <s v="Mahbub Alam"/>
    <m/>
    <n v="295854.53000000003"/>
    <n v="46"/>
    <x v="3"/>
  </r>
  <r>
    <s v="invoices_2026-06.csv"/>
    <s v="INV-202606-0160"/>
    <s v="C030"/>
    <d v="2026-06-17T00:00:00"/>
    <d v="2026-07-17T00:00:00"/>
    <n v="33326.69"/>
    <s v="Tanvir Ahmed"/>
    <n v="11232.66"/>
    <n v="22094.03"/>
    <n v="45"/>
    <x v="3"/>
  </r>
  <r>
    <s v="invoices_2026-06.csv"/>
    <s v="INV-202606-0161"/>
    <s v="C038"/>
    <d v="2026-06-17T00:00:00"/>
    <d v="2026-08-16T00:00:00"/>
    <n v="235327.02"/>
    <s v="Imran Hossain"/>
    <m/>
    <n v="235327.02"/>
    <n v="15"/>
    <x v="4"/>
  </r>
  <r>
    <s v="invoices_2026-06.csv"/>
    <s v="INV-202606-0200"/>
    <s v="C021"/>
    <d v="2026-06-21T00:00:00"/>
    <d v="2026-07-21T00:00:00"/>
    <n v="81178.97"/>
    <s v="Mahbub Alam"/>
    <n v="81178.97"/>
    <n v="0"/>
    <n v="41"/>
    <x v="0"/>
  </r>
  <r>
    <s v="invoices_2026-06.csv"/>
    <s v="INV-202606-0233"/>
    <s v="C030"/>
    <d v="2026-06-23T00:00:00"/>
    <d v="2026-07-23T00:00:00"/>
    <n v="79967.570000000007"/>
    <s v="Tanvir Ahmed"/>
    <n v="79967.570000000007"/>
    <n v="0"/>
    <n v="39"/>
    <x v="0"/>
  </r>
  <r>
    <s v="invoices_2026-06.csv"/>
    <s v="INV-202606-0163"/>
    <s v="C046"/>
    <d v="2026-06-17T00:00:00"/>
    <d v="2026-07-17T00:00:00"/>
    <n v="266247.48"/>
    <s v="Mahbub Alam"/>
    <n v="266247.48"/>
    <n v="0"/>
    <n v="45"/>
    <x v="0"/>
  </r>
  <r>
    <s v="invoices_2026-07.csv"/>
    <s v="INV-202607-0014"/>
    <s v="C013"/>
    <d v="2026-07-02T00:00:00"/>
    <d v="2026-08-31T00:00:00"/>
    <n v="221914.34"/>
    <s v="Nusrat Jahan"/>
    <n v="221914.34"/>
    <n v="0"/>
    <n v="0"/>
    <x v="0"/>
  </r>
  <r>
    <s v="invoices_2026-06.csv"/>
    <s v="INV-202606-0164"/>
    <s v="C012"/>
    <d v="2026-06-17T00:00:00"/>
    <d v="2026-07-17T00:00:00"/>
    <n v="75870.289999999994"/>
    <s v="Shirin Sultana"/>
    <n v="75870.289999999994"/>
    <n v="0"/>
    <n v="45"/>
    <x v="0"/>
  </r>
  <r>
    <s v="invoices_2026-07.csv"/>
    <s v="INV-202607-0029"/>
    <s v="C028"/>
    <d v="2026-07-03T00:00:00"/>
    <d v="2026-09-01T00:00:00"/>
    <n v="204527.09"/>
    <s v="Shirin Sultana"/>
    <n v="127091.68"/>
    <n v="77435.41"/>
    <n v="-1"/>
    <x v="5"/>
  </r>
  <r>
    <s v="invoices_2026-06.csv"/>
    <s v="INV-202606-0165"/>
    <s v="C014"/>
    <d v="2026-06-17T00:00:00"/>
    <d v="2026-08-16T00:00:00"/>
    <n v="193458.08"/>
    <s v="Nusrat Jahan"/>
    <n v="193458.08"/>
    <n v="0"/>
    <n v="15"/>
    <x v="0"/>
  </r>
  <r>
    <s v="invoices_2026-07.csv"/>
    <s v="INV-202607-0048"/>
    <s v="C012"/>
    <d v="2026-07-05T00:00:00"/>
    <d v="2026-08-04T00:00:00"/>
    <n v="317103.77"/>
    <s v="Shirin Sultana"/>
    <n v="317103.77"/>
    <n v="0"/>
    <n v="27"/>
    <x v="0"/>
  </r>
  <r>
    <s v="invoices_2026-07.csv"/>
    <s v="INV-202607-0104"/>
    <s v="C048"/>
    <d v="2026-07-13T00:00:00"/>
    <d v="2026-08-12T00:00:00"/>
    <n v="42390.43"/>
    <s v="Imran Hossain"/>
    <n v="34790.080000000002"/>
    <n v="7600.35"/>
    <n v="19"/>
    <x v="4"/>
  </r>
  <r>
    <s v="invoices_2026-06.csv"/>
    <s v="INV-202606-0167"/>
    <s v="C029"/>
    <d v="2026-06-17T00:00:00"/>
    <d v="2026-07-17T00:00:00"/>
    <n v="77709.820000000007"/>
    <s v="Farzana Akter"/>
    <n v="63528.95"/>
    <n v="14180.87"/>
    <n v="45"/>
    <x v="3"/>
  </r>
  <r>
    <s v="invoices_2026-07.csv"/>
    <s v="INV-202607-0199"/>
    <s v="C044"/>
    <d v="2026-07-22T00:00:00"/>
    <d v="2026-08-21T00:00:00"/>
    <n v="152509.17000000001"/>
    <s v="Mahbub Alam"/>
    <n v="152509.17000000001"/>
    <n v="0"/>
    <n v="10"/>
    <x v="0"/>
  </r>
  <r>
    <s v="invoices_2026-06.csv"/>
    <s v="INV-202606-0168"/>
    <s v="C009"/>
    <d v="2026-06-17T00:00:00"/>
    <d v="2026-08-01T00:00:00"/>
    <n v="158911.54999999999"/>
    <s v="Farzana Akter"/>
    <n v="158911.54999999999"/>
    <n v="0"/>
    <n v="30"/>
    <x v="0"/>
  </r>
  <r>
    <s v="invoices_2026-07.csv"/>
    <s v="INV-202607-0208"/>
    <s v="C041"/>
    <d v="2026-07-23T00:00:00"/>
    <d v="2026-08-22T00:00:00"/>
    <n v="15630.89"/>
    <s v="Tanvir Ahmed"/>
    <n v="15630.89"/>
    <n v="0"/>
    <n v="9"/>
    <x v="0"/>
  </r>
  <r>
    <s v="invoices_2026-07.csv"/>
    <s v="INV-202607-0261"/>
    <s v="C046"/>
    <d v="2026-07-28T00:00:00"/>
    <d v="2026-08-27T00:00:00"/>
    <n v="150307.07999999999"/>
    <s v="Mahbub Alam"/>
    <n v="150307.07999999999"/>
    <n v="0"/>
    <n v="4"/>
    <x v="0"/>
  </r>
  <r>
    <s v="invoices_2026-06.csv"/>
    <s v="INV-202606-0170"/>
    <s v="C033"/>
    <d v="2026-06-17T00:00:00"/>
    <d v="2026-07-17T00:00:00"/>
    <n v="384768.34"/>
    <s v="Nusrat Jahan"/>
    <m/>
    <n v="384768.34"/>
    <n v="45"/>
    <x v="3"/>
  </r>
  <r>
    <s v="invoices_2026-07.csv"/>
    <s v="INV-202607-0270"/>
    <s v="C039"/>
    <d v="2026-07-28T00:00:00"/>
    <d v="2026-08-12T00:00:00"/>
    <n v="19892.78"/>
    <s v="Mahbub Alam"/>
    <n v="19892.78"/>
    <n v="0"/>
    <n v="19"/>
    <x v="0"/>
  </r>
  <r>
    <s v="invoices_2026-06.csv"/>
    <s v="INV-202606-0174"/>
    <s v="C030"/>
    <d v="2026-06-18T00:00:00"/>
    <d v="2026-07-18T00:00:00"/>
    <n v="73208.78"/>
    <s v="Tanvir Ahmed"/>
    <n v="73208.78"/>
    <n v="0"/>
    <n v="44"/>
    <x v="0"/>
  </r>
  <r>
    <s v="invoices_2026-06.csv"/>
    <s v="INV-202606-0176"/>
    <s v="C040"/>
    <d v="2026-06-18T00:00:00"/>
    <d v="2026-08-17T00:00:00"/>
    <n v="317848.73"/>
    <s v="Nusrat Jahan"/>
    <n v="317848.73"/>
    <n v="0"/>
    <n v="14"/>
    <x v="0"/>
  </r>
  <r>
    <s v="invoices_2026-06.csv"/>
    <s v="INV-202606-0205"/>
    <s v="C045"/>
    <d v="2026-06-21T00:00:00"/>
    <d v="2026-07-06T00:00:00"/>
    <n v="25270.7"/>
    <s v="Mahbub Alam"/>
    <n v="25270.7"/>
    <n v="0"/>
    <n v="56"/>
    <x v="0"/>
  </r>
  <r>
    <s v="invoices_2026-06.csv"/>
    <s v="INV-202606-0282"/>
    <s v="C036"/>
    <d v="2026-06-28T00:00:00"/>
    <d v="2026-07-28T00:00:00"/>
    <n v="20615.349999999999"/>
    <s v="Nusrat Jahan"/>
    <n v="20615.349999999999"/>
    <n v="0"/>
    <n v="34"/>
    <x v="0"/>
  </r>
  <r>
    <s v="invoices_2026-06.csv"/>
    <s v="INV-202606-0181"/>
    <s v="C016"/>
    <d v="2026-06-18T00:00:00"/>
    <d v="2026-07-18T00:00:00"/>
    <n v="8433.49"/>
    <s v="Shirin Sultana"/>
    <n v="8433.49"/>
    <n v="0"/>
    <n v="44"/>
    <x v="0"/>
  </r>
  <r>
    <s v="invoices_2026-07.csv"/>
    <s v="INV-202607-0016"/>
    <s v="C038"/>
    <d v="2026-07-02T00:00:00"/>
    <d v="2026-08-31T00:00:00"/>
    <n v="148354.78"/>
    <s v="Imran Hossain"/>
    <n v="148354.78"/>
    <n v="0"/>
    <n v="0"/>
    <x v="0"/>
  </r>
  <r>
    <s v="invoices_2026-07.csv"/>
    <s v="INV-202607-0070"/>
    <s v="C015"/>
    <d v="2026-07-09T00:00:00"/>
    <d v="2026-08-08T00:00:00"/>
    <n v="203006.86"/>
    <s v="Nusrat Jahan"/>
    <n v="203006.86"/>
    <n v="0"/>
    <n v="23"/>
    <x v="0"/>
  </r>
  <r>
    <s v="invoices_2026-06.csv"/>
    <s v="INV-202606-0183"/>
    <s v="C013"/>
    <d v="2026-06-18T00:00:00"/>
    <d v="2026-08-17T00:00:00"/>
    <n v="649915.71"/>
    <s v="Nusrat Jahan"/>
    <n v="349819.29"/>
    <n v="300096.42"/>
    <n v="14"/>
    <x v="4"/>
  </r>
  <r>
    <s v="invoices_2026-07.csv"/>
    <s v="INV-202607-0093"/>
    <s v="C032"/>
    <d v="2026-07-11T00:00:00"/>
    <d v="2026-08-25T00:00:00"/>
    <n v="992008.59"/>
    <s v="Shirin Sultana"/>
    <n v="992008.59"/>
    <n v="0"/>
    <n v="6"/>
    <x v="0"/>
  </r>
  <r>
    <s v="invoices_2026-06.csv"/>
    <s v="INV-202606-0184"/>
    <s v="C044"/>
    <d v="2026-06-18T00:00:00"/>
    <d v="2026-07-18T00:00:00"/>
    <n v="731983.59"/>
    <s v="Mahbub Alam"/>
    <n v="731983.59"/>
    <n v="0"/>
    <n v="44"/>
    <x v="0"/>
  </r>
  <r>
    <s v="invoices_2026-07.csv"/>
    <s v="INV-202607-0094"/>
    <s v="C031"/>
    <d v="2026-07-12T00:00:00"/>
    <d v="2026-08-11T00:00:00"/>
    <n v="26212.95"/>
    <s v="Tanvir Ahmed"/>
    <n v="8492.09"/>
    <n v="17720.86"/>
    <n v="20"/>
    <x v="4"/>
  </r>
  <r>
    <s v="invoices_2026-06.csv"/>
    <s v="INV-202606-0185"/>
    <s v="C007"/>
    <d v="2026-06-18T00:00:00"/>
    <d v="2026-07-18T00:00:00"/>
    <n v="103609.2"/>
    <s v="Mahbub Alam"/>
    <n v="103609.2"/>
    <n v="0"/>
    <n v="44"/>
    <x v="0"/>
  </r>
  <r>
    <s v="invoices_2026-07.csv"/>
    <s v="INV-202607-0109"/>
    <s v="C042"/>
    <d v="2026-07-14T00:00:00"/>
    <d v="2026-08-13T00:00:00"/>
    <n v="45888.55"/>
    <s v="Nusrat Jahan"/>
    <n v="26786.42"/>
    <n v="19102.13"/>
    <n v="18"/>
    <x v="4"/>
  </r>
  <r>
    <s v="invoices_2026-07.csv"/>
    <s v="INV-202607-0117"/>
    <s v="C041"/>
    <d v="2026-07-14T00:00:00"/>
    <d v="2026-08-13T00:00:00"/>
    <n v="24028.15"/>
    <s v="Tanvir Ahmed"/>
    <n v="24028.15"/>
    <n v="0"/>
    <n v="18"/>
    <x v="0"/>
  </r>
  <r>
    <s v="invoices_2026-07.csv"/>
    <s v="INV-202607-0209"/>
    <s v="C043"/>
    <d v="2026-07-23T00:00:00"/>
    <d v="2026-08-22T00:00:00"/>
    <n v="12925.29"/>
    <s v="Shirin Sultana"/>
    <n v="12925.29"/>
    <n v="0"/>
    <n v="9"/>
    <x v="0"/>
  </r>
  <r>
    <s v="invoices_2026-06.csv"/>
    <s v="INV-202606-0189"/>
    <s v="C036"/>
    <d v="2026-06-19T00:00:00"/>
    <d v="2026-07-19T00:00:00"/>
    <n v="9596.51"/>
    <s v="Nusrat Jahan"/>
    <n v="9596.51"/>
    <n v="0"/>
    <n v="43"/>
    <x v="0"/>
  </r>
  <r>
    <s v="invoices_2026-06.csv"/>
    <s v="INV-202606-0191"/>
    <s v="C012"/>
    <d v="2026-06-19T00:00:00"/>
    <d v="2026-07-19T00:00:00"/>
    <n v="64129.14"/>
    <s v="Shirin Sultana"/>
    <n v="64129.14"/>
    <n v="0"/>
    <n v="43"/>
    <x v="0"/>
  </r>
  <r>
    <s v="invoices_2026-06.csv"/>
    <s v="INV-202606-0194"/>
    <s v="C014"/>
    <d v="2026-06-20T00:00:00"/>
    <d v="2026-08-19T00:00:00"/>
    <n v="125415.11"/>
    <s v="Nusrat Jahan"/>
    <n v="125415.11"/>
    <n v="0"/>
    <n v="12"/>
    <x v="0"/>
  </r>
  <r>
    <s v="invoices_2026-06.csv"/>
    <s v="INV-202606-0196"/>
    <s v="C045"/>
    <d v="2026-06-20T00:00:00"/>
    <d v="2026-07-05T00:00:00"/>
    <n v="10162.02"/>
    <s v="Mahbub Alam"/>
    <m/>
    <n v="10162.02"/>
    <n v="57"/>
    <x v="3"/>
  </r>
  <r>
    <s v="invoices_2026-06.csv"/>
    <s v="INV-202606-0197"/>
    <s v="C011"/>
    <d v="2026-06-20T00:00:00"/>
    <d v="2026-08-19T00:00:00"/>
    <n v="115067.5"/>
    <s v="Imran Hossain"/>
    <n v="115067.5"/>
    <n v="0"/>
    <n v="12"/>
    <x v="0"/>
  </r>
  <r>
    <s v="invoices_2026-06.csv"/>
    <s v="INV-202606-0198"/>
    <s v="C041"/>
    <d v="2026-06-20T00:00:00"/>
    <d v="2026-07-20T00:00:00"/>
    <n v="92653.52"/>
    <s v="Tanvir Ahmed"/>
    <n v="92653.52"/>
    <n v="0"/>
    <n v="42"/>
    <x v="0"/>
  </r>
  <r>
    <s v="invoices_2026-06.csv"/>
    <s v="INV-202606-0294"/>
    <s v="C016"/>
    <d v="2026-06-30T00:00:00"/>
    <d v="2026-07-30T00:00:00"/>
    <n v="20115.77"/>
    <s v="Shirin Sultana"/>
    <n v="20115.77"/>
    <n v="0"/>
    <n v="32"/>
    <x v="0"/>
  </r>
  <r>
    <s v="invoices_2026-07.csv"/>
    <s v="INV-202607-0030"/>
    <s v="C046"/>
    <d v="2026-07-03T00:00:00"/>
    <d v="2026-08-02T00:00:00"/>
    <n v="77065.45"/>
    <s v="Mahbub Alam"/>
    <n v="77065.45"/>
    <n v="0"/>
    <n v="29"/>
    <x v="0"/>
  </r>
  <r>
    <s v="invoices_2026-07.csv"/>
    <s v="INV-202607-0037"/>
    <s v="C013"/>
    <d v="2026-07-04T00:00:00"/>
    <d v="2026-09-02T00:00:00"/>
    <n v="308449.14"/>
    <s v="Nusrat Jahan"/>
    <n v="308449.14"/>
    <n v="0"/>
    <n v="-2"/>
    <x v="0"/>
  </r>
  <r>
    <s v="invoices_2026-06.csv"/>
    <s v="INV-202606-0202"/>
    <s v="C003"/>
    <d v="2026-06-21T00:00:00"/>
    <d v="2026-07-21T00:00:00"/>
    <n v="26165.88"/>
    <s v="Mahbub Alam"/>
    <n v="26165.88"/>
    <n v="0"/>
    <n v="41"/>
    <x v="0"/>
  </r>
  <r>
    <s v="invoices_2026-07.csv"/>
    <s v="INV-202607-0042"/>
    <s v="C025"/>
    <d v="2026-07-05T00:00:00"/>
    <d v="2026-08-19T00:00:00"/>
    <n v="63959.56"/>
    <s v="Imran Hossain"/>
    <n v="63959.56"/>
    <n v="0"/>
    <n v="12"/>
    <x v="0"/>
  </r>
  <r>
    <s v="invoices_2026-06.csv"/>
    <s v="INV-202606-0203"/>
    <s v="C044"/>
    <d v="2026-06-21T00:00:00"/>
    <d v="2026-07-21T00:00:00"/>
    <n v="1085115.3"/>
    <s v="Mahbub Alam"/>
    <n v="1085115.3"/>
    <n v="0"/>
    <n v="41"/>
    <x v="0"/>
  </r>
  <r>
    <s v="invoices_2026-07.csv"/>
    <s v="INV-202607-0182"/>
    <s v="C047"/>
    <d v="2026-07-20T00:00:00"/>
    <d v="2026-08-19T00:00:00"/>
    <n v="519300.72"/>
    <s v="Nusrat Jahan"/>
    <n v="519300.72"/>
    <n v="0"/>
    <n v="12"/>
    <x v="0"/>
  </r>
  <r>
    <s v="invoices_2026-07.csv"/>
    <s v="INV-202607-0212"/>
    <s v="C044"/>
    <d v="2026-07-23T00:00:00"/>
    <d v="2026-08-22T00:00:00"/>
    <n v="370392.48"/>
    <s v="Mahbub Alam"/>
    <n v="370392.48"/>
    <n v="0"/>
    <n v="9"/>
    <x v="0"/>
  </r>
  <r>
    <s v="invoices_2026-06.csv"/>
    <s v="INV-202606-0206"/>
    <s v="C045"/>
    <d v="2026-06-21T00:00:00"/>
    <d v="2026-07-06T00:00:00"/>
    <n v="55205.03"/>
    <s v="Mahbub Alam"/>
    <n v="35009.58"/>
    <n v="20195.45"/>
    <n v="56"/>
    <x v="3"/>
  </r>
  <r>
    <s v="invoices_2026-06.csv"/>
    <s v="INV-202606-0207"/>
    <s v="C028"/>
    <d v="2026-06-21T00:00:00"/>
    <d v="2026-08-20T00:00:00"/>
    <n v="515222.21"/>
    <s v="Shirin Sultana"/>
    <m/>
    <n v="515222.21"/>
    <n v="11"/>
    <x v="4"/>
  </r>
  <r>
    <s v="invoices_2026-06.csv"/>
    <s v="INV-202606-0208"/>
    <s v="C024"/>
    <d v="2026-06-21T00:00:00"/>
    <d v="2026-07-21T00:00:00"/>
    <n v="92313.16"/>
    <s v="Farzana Akter"/>
    <n v="92313.16"/>
    <n v="0"/>
    <n v="41"/>
    <x v="0"/>
  </r>
  <r>
    <s v="invoices_2026-06.csv"/>
    <s v="INV-202606-0209"/>
    <s v="C044"/>
    <d v="2026-06-21T00:00:00"/>
    <d v="2026-07-21T00:00:00"/>
    <n v="225708.19"/>
    <s v="Mahbub Alam"/>
    <n v="225708.19"/>
    <n v="0"/>
    <n v="41"/>
    <x v="0"/>
  </r>
  <r>
    <s v="invoices_2026-06.csv"/>
    <s v="INV-202606-0211"/>
    <s v="C006"/>
    <d v="2026-06-22T00:00:00"/>
    <d v="2026-08-06T00:00:00"/>
    <n v="132052.89000000001"/>
    <s v="Nusrat Jahan"/>
    <n v="132052.89000000001"/>
    <n v="0"/>
    <n v="25"/>
    <x v="0"/>
  </r>
  <r>
    <s v="invoices_2026-06.csv"/>
    <s v="INV-202606-0212"/>
    <s v="C015"/>
    <d v="2026-06-22T00:00:00"/>
    <d v="2026-07-22T00:00:00"/>
    <n v="68325.89"/>
    <s v="Nusrat Jahan"/>
    <n v="38401.020000000004"/>
    <n v="29924.87"/>
    <n v="40"/>
    <x v="3"/>
  </r>
  <r>
    <s v="invoices_2026-06.csv"/>
    <s v="INV-202606-0213"/>
    <s v="C013"/>
    <d v="2026-06-22T00:00:00"/>
    <d v="2026-08-21T00:00:00"/>
    <n v="143487.94"/>
    <s v="Nusrat Jahan"/>
    <m/>
    <n v="143487.94"/>
    <n v="10"/>
    <x v="4"/>
  </r>
  <r>
    <s v="invoices_2026-06.csv"/>
    <s v="INV-202606-0214"/>
    <s v="C009"/>
    <d v="2026-06-22T00:00:00"/>
    <d v="2026-08-06T00:00:00"/>
    <n v="998545.23"/>
    <s v="Farzana Akter"/>
    <n v="998545.23"/>
    <n v="0"/>
    <n v="25"/>
    <x v="0"/>
  </r>
  <r>
    <s v="invoices_2026-06.csv"/>
    <s v="INV-202606-0215"/>
    <s v="C043"/>
    <d v="2026-06-22T00:00:00"/>
    <d v="2026-07-22T00:00:00"/>
    <n v="54508.7"/>
    <s v="Shirin Sultana"/>
    <n v="54508.7"/>
    <n v="0"/>
    <n v="40"/>
    <x v="0"/>
  </r>
  <r>
    <s v="invoices_2026-06.csv"/>
    <s v="INV-202606-0216"/>
    <s v="C016"/>
    <d v="2026-06-22T00:00:00"/>
    <d v="2026-07-22T00:00:00"/>
    <n v="10016.86"/>
    <s v="Shirin Sultana"/>
    <n v="10016.86"/>
    <n v="0"/>
    <n v="40"/>
    <x v="0"/>
  </r>
  <r>
    <s v="invoices_2026-07.csv"/>
    <s v="INV-202607-0011"/>
    <s v="C016"/>
    <d v="2026-07-01T00:00:00"/>
    <d v="2026-07-31T00:00:00"/>
    <n v="14025.11"/>
    <s v="Shirin Sultana"/>
    <n v="14025.11"/>
    <n v="0"/>
    <n v="31"/>
    <x v="0"/>
  </r>
  <r>
    <s v="invoices_2026-06.csv"/>
    <s v="INV-202606-0217"/>
    <s v="C014"/>
    <d v="2026-06-22T00:00:00"/>
    <d v="2026-08-21T00:00:00"/>
    <n v="441197.27"/>
    <s v="Nusrat Jahan"/>
    <n v="441197.27"/>
    <n v="0"/>
    <n v="10"/>
    <x v="0"/>
  </r>
  <r>
    <s v="invoices_2026-07.csv"/>
    <s v="INV-202607-0027"/>
    <s v="C026"/>
    <d v="2026-07-03T00:00:00"/>
    <d v="2026-08-02T00:00:00"/>
    <n v="479557.36"/>
    <s v="Nusrat Jahan"/>
    <n v="479557.36"/>
    <n v="0"/>
    <n v="29"/>
    <x v="0"/>
  </r>
  <r>
    <s v="invoices_2026-07.csv"/>
    <s v="INV-202607-0039"/>
    <s v="C036"/>
    <d v="2026-07-05T00:00:00"/>
    <d v="2026-08-04T00:00:00"/>
    <n v="30056.22"/>
    <s v="Nusrat Jahan"/>
    <n v="30056.22"/>
    <n v="0"/>
    <n v="27"/>
    <x v="0"/>
  </r>
  <r>
    <s v="invoices_2026-06.csv"/>
    <s v="INV-202606-0219"/>
    <s v="C026"/>
    <d v="2026-06-23T00:00:00"/>
    <d v="2026-07-23T00:00:00"/>
    <n v="984283.07"/>
    <s v="Nusrat Jahan"/>
    <n v="984283.07"/>
    <n v="0"/>
    <n v="39"/>
    <x v="0"/>
  </r>
  <r>
    <s v="invoices_2026-07.csv"/>
    <s v="INV-202607-0062"/>
    <s v="C009"/>
    <d v="2026-07-08T00:00:00"/>
    <d v="2026-08-22T00:00:00"/>
    <n v="71078.58"/>
    <s v="Farzana Akter"/>
    <n v="71078.58"/>
    <n v="0"/>
    <n v="9"/>
    <x v="0"/>
  </r>
  <r>
    <s v="invoices_2026-07.csv"/>
    <s v="INV-202607-0186"/>
    <s v="C005"/>
    <d v="2026-07-20T00:00:00"/>
    <d v="2026-08-19T00:00:00"/>
    <n v="96981.37"/>
    <s v="Mahbub Alam"/>
    <n v="96981.37"/>
    <n v="0"/>
    <n v="12"/>
    <x v="0"/>
  </r>
  <r>
    <s v="invoices_2026-06.csv"/>
    <s v="INV-202606-0221"/>
    <s v="C042"/>
    <d v="2026-06-23T00:00:00"/>
    <d v="2026-07-23T00:00:00"/>
    <n v="37956.879999999997"/>
    <s v="Nusrat Jahan"/>
    <m/>
    <n v="37956.879999999997"/>
    <n v="39"/>
    <x v="3"/>
  </r>
  <r>
    <s v="invoices_2026-07.csv"/>
    <s v="INV-202607-0204"/>
    <s v="C009"/>
    <d v="2026-07-22T00:00:00"/>
    <d v="2026-09-05T00:00:00"/>
    <n v="471054.53"/>
    <s v="Farzana Akter"/>
    <n v="471054.53"/>
    <n v="0"/>
    <n v="-5"/>
    <x v="0"/>
  </r>
  <r>
    <s v="invoices_2026-07.csv"/>
    <s v="INV-202607-0263"/>
    <s v="C014"/>
    <d v="2026-07-28T00:00:00"/>
    <d v="2026-09-26T00:00:00"/>
    <n v="109212.15"/>
    <s v="Nusrat Jahan"/>
    <n v="109212.15"/>
    <n v="0"/>
    <n v="-26"/>
    <x v="0"/>
  </r>
  <r>
    <s v="invoices_2026-06.csv"/>
    <s v="INV-202606-0226"/>
    <s v="C033"/>
    <d v="2026-06-23T00:00:00"/>
    <d v="2026-07-23T00:00:00"/>
    <n v="58720.86"/>
    <s v="Nusrat Jahan"/>
    <n v="37810"/>
    <n v="20910.86"/>
    <n v="39"/>
    <x v="3"/>
  </r>
  <r>
    <s v="invoices_2026-06.csv"/>
    <s v="INV-202606-0229"/>
    <s v="C026"/>
    <d v="2026-06-23T00:00:00"/>
    <d v="2026-07-23T00:00:00"/>
    <n v="95588.41"/>
    <s v="Nusrat Jahan"/>
    <n v="95588.41"/>
    <n v="0"/>
    <n v="39"/>
    <x v="0"/>
  </r>
  <r>
    <s v="invoices_2026-06.csv"/>
    <s v="INV-202606-0238"/>
    <s v="C039"/>
    <d v="2026-06-24T00:00:00"/>
    <d v="2026-07-09T00:00:00"/>
    <n v="83017.36"/>
    <s v="Mahbub Alam"/>
    <n v="53325.72"/>
    <n v="29691.64"/>
    <n v="53"/>
    <x v="3"/>
  </r>
  <r>
    <s v="invoices_2026-06.csv"/>
    <s v="INV-202606-0254"/>
    <s v="C007"/>
    <d v="2026-06-26T00:00:00"/>
    <d v="2026-07-26T00:00:00"/>
    <n v="267285.98"/>
    <s v="Mahbub Alam"/>
    <n v="267285.98"/>
    <n v="0"/>
    <n v="36"/>
    <x v="0"/>
  </r>
  <r>
    <s v="invoices_2026-06.csv"/>
    <s v="INV-202606-0278"/>
    <s v="C017"/>
    <d v="2026-06-28T00:00:00"/>
    <d v="2026-07-13T00:00:00"/>
    <n v="16900.59"/>
    <s v="Tanvir Ahmed"/>
    <n v="16900.59"/>
    <n v="0"/>
    <n v="49"/>
    <x v="0"/>
  </r>
  <r>
    <s v="invoices_2026-06.csv"/>
    <s v="INV-202606-0234"/>
    <s v="C022"/>
    <d v="2026-06-23T00:00:00"/>
    <d v="2026-07-08T00:00:00"/>
    <n v="22084.01"/>
    <s v="Mahbub Alam"/>
    <n v="22084.01"/>
    <n v="0"/>
    <n v="54"/>
    <x v="0"/>
  </r>
  <r>
    <s v="invoices_2026-07.csv"/>
    <s v="INV-202607-0102"/>
    <s v="C030"/>
    <d v="2026-07-13T00:00:00"/>
    <d v="2026-08-12T00:00:00"/>
    <n v="19622.96"/>
    <s v="Tanvir Ahmed"/>
    <n v="6000.9400000000005"/>
    <n v="13622.02"/>
    <n v="19"/>
    <x v="4"/>
  </r>
  <r>
    <s v="invoices_2026-06.csv"/>
    <s v="INV-202606-0235"/>
    <s v="C025"/>
    <d v="2026-06-24T00:00:00"/>
    <d v="2026-08-08T00:00:00"/>
    <n v="235131.87"/>
    <s v="Imran Hossain"/>
    <n v="235131.87"/>
    <n v="0"/>
    <n v="23"/>
    <x v="0"/>
  </r>
  <r>
    <s v="invoices_2026-07.csv"/>
    <s v="INV-202607-0135"/>
    <s v="C012"/>
    <d v="2026-07-16T00:00:00"/>
    <d v="2026-08-15T00:00:00"/>
    <n v="128025.24"/>
    <s v="Shirin Sultana"/>
    <n v="77164.820000000007"/>
    <n v="50860.42"/>
    <n v="16"/>
    <x v="4"/>
  </r>
  <r>
    <s v="invoices_2026-06.csv"/>
    <s v="INV-202606-0236"/>
    <s v="C024"/>
    <d v="2026-06-24T00:00:00"/>
    <d v="2026-07-24T00:00:00"/>
    <n v="99266.6"/>
    <s v="Farzana Akter"/>
    <n v="99266.6"/>
    <n v="0"/>
    <n v="38"/>
    <x v="0"/>
  </r>
  <r>
    <s v="invoices_2026-07.csv"/>
    <s v="INV-202607-0147"/>
    <s v="C004"/>
    <d v="2026-07-17T00:00:00"/>
    <d v="2026-08-31T00:00:00"/>
    <n v="1193270.8500000001"/>
    <s v="Nusrat Jahan"/>
    <n v="1193270.8500000001"/>
    <n v="0"/>
    <n v="0"/>
    <x v="0"/>
  </r>
  <r>
    <s v="invoices_2026-06.csv"/>
    <s v="INV-202606-0237"/>
    <s v="C008"/>
    <d v="2026-06-24T00:00:00"/>
    <d v="2026-08-08T00:00:00"/>
    <n v="768460.32"/>
    <s v="Shirin Sultana"/>
    <n v="768460.32"/>
    <n v="0"/>
    <n v="23"/>
    <x v="0"/>
  </r>
  <r>
    <s v="invoices_2026-07.csv"/>
    <s v="INV-202607-0173"/>
    <s v="C027"/>
    <d v="2026-07-19T00:00:00"/>
    <d v="2026-08-03T00:00:00"/>
    <n v="35295.35"/>
    <s v="Imran Hossain"/>
    <n v="35295.35"/>
    <n v="0"/>
    <n v="28"/>
    <x v="0"/>
  </r>
  <r>
    <s v="invoices_2026-07.csv"/>
    <s v="INV-202607-0185"/>
    <s v="C024"/>
    <d v="2026-07-20T00:00:00"/>
    <d v="2026-08-19T00:00:00"/>
    <n v="179199.85"/>
    <s v="Farzana Akter"/>
    <n v="62307.19"/>
    <n v="116892.66"/>
    <n v="12"/>
    <x v="4"/>
  </r>
  <r>
    <s v="invoices_2026-07.csv"/>
    <s v="INV-202607-0236"/>
    <s v="C040"/>
    <d v="2026-07-26T00:00:00"/>
    <d v="2026-09-24T00:00:00"/>
    <n v="117534.88"/>
    <s v="Nusrat Jahan"/>
    <n v="117534.88"/>
    <n v="0"/>
    <n v="-24"/>
    <x v="0"/>
  </r>
  <r>
    <s v="invoices_2026-07.csv"/>
    <s v="INV-202607-0271"/>
    <s v="C029"/>
    <d v="2026-07-29T00:00:00"/>
    <d v="2026-08-28T00:00:00"/>
    <n v="141369.46"/>
    <s v="Farzana Akter"/>
    <n v="141369.46"/>
    <n v="0"/>
    <n v="3"/>
    <x v="0"/>
  </r>
  <r>
    <s v="invoices_2026-06.csv"/>
    <s v="INV-202606-0241"/>
    <s v="C047"/>
    <d v="2026-06-25T00:00:00"/>
    <d v="2026-07-25T00:00:00"/>
    <n v="62276.49"/>
    <s v="Nusrat Jahan"/>
    <n v="62276.49"/>
    <n v="0"/>
    <n v="37"/>
    <x v="0"/>
  </r>
  <r>
    <s v="invoices_2026-06.csv"/>
    <s v="INV-202606-0242"/>
    <s v="C009"/>
    <d v="2026-06-25T00:00:00"/>
    <d v="2026-08-09T00:00:00"/>
    <n v="486256.34"/>
    <s v="Farzana Akter"/>
    <m/>
    <n v="486256.34"/>
    <n v="22"/>
    <x v="4"/>
  </r>
  <r>
    <s v="invoices_2026-06.csv"/>
    <s v="INV-202606-0243"/>
    <s v="C003"/>
    <d v="2026-06-25T00:00:00"/>
    <d v="2026-07-25T00:00:00"/>
    <n v="44731.68"/>
    <s v="Mahbub Alam"/>
    <n v="44731.68"/>
    <n v="0"/>
    <n v="37"/>
    <x v="0"/>
  </r>
  <r>
    <s v="invoices_2026-06.csv"/>
    <s v="INV-202606-0245"/>
    <s v="C012"/>
    <d v="2026-06-25T00:00:00"/>
    <d v="2026-07-25T00:00:00"/>
    <n v="192818.87"/>
    <s v="Shirin Sultana"/>
    <n v="192818.87"/>
    <n v="0"/>
    <n v="37"/>
    <x v="0"/>
  </r>
  <r>
    <s v="invoices_2026-06.csv"/>
    <s v="INV-202606-0248"/>
    <s v="C007"/>
    <d v="2026-06-25T00:00:00"/>
    <d v="2026-07-25T00:00:00"/>
    <n v="870356.15"/>
    <s v="Mahbub Alam"/>
    <n v="870356.15"/>
    <n v="0"/>
    <n v="37"/>
    <x v="0"/>
  </r>
  <r>
    <s v="invoices_2026-06.csv"/>
    <s v="INV-202606-0249"/>
    <s v="C046"/>
    <d v="2026-06-25T00:00:00"/>
    <d v="2026-07-25T00:00:00"/>
    <n v="167031.98000000001"/>
    <s v="Mahbub Alam"/>
    <n v="167031.98000000001"/>
    <n v="0"/>
    <n v="37"/>
    <x v="0"/>
  </r>
  <r>
    <s v="invoices_2026-06.csv"/>
    <s v="INV-202606-0250"/>
    <s v="C007"/>
    <d v="2026-06-26T00:00:00"/>
    <d v="2026-07-26T00:00:00"/>
    <n v="1132382.67"/>
    <s v="Mahbub Alam"/>
    <m/>
    <n v="1132382.67"/>
    <n v="36"/>
    <x v="3"/>
  </r>
  <r>
    <s v="invoices_2026-06.csv"/>
    <s v="INV-202606-0251"/>
    <s v="C012"/>
    <d v="2026-06-26T00:00:00"/>
    <d v="2026-07-26T00:00:00"/>
    <n v="134175.16"/>
    <s v="Shirin Sultana"/>
    <n v="134175.16"/>
    <n v="0"/>
    <n v="36"/>
    <x v="0"/>
  </r>
  <r>
    <s v="invoices_2026-06.csv"/>
    <s v="INV-202606-0264"/>
    <s v="C040"/>
    <d v="2026-06-26T00:00:00"/>
    <d v="2026-08-25T00:00:00"/>
    <n v="87856.37"/>
    <s v="Nusrat Jahan"/>
    <n v="87856.37"/>
    <n v="0"/>
    <n v="6"/>
    <x v="0"/>
  </r>
  <r>
    <s v="invoices_2026-07.csv"/>
    <s v="INV-202607-0031"/>
    <s v="C004"/>
    <d v="2026-07-03T00:00:00"/>
    <d v="2026-08-17T00:00:00"/>
    <n v="451480"/>
    <s v="Nusrat Jahan"/>
    <n v="451480"/>
    <n v="0"/>
    <n v="14"/>
    <x v="0"/>
  </r>
  <r>
    <s v="invoices_2026-07.csv"/>
    <s v="INV-202607-0044"/>
    <s v="C013"/>
    <d v="2026-07-05T00:00:00"/>
    <d v="2026-09-03T00:00:00"/>
    <n v="240639.61"/>
    <s v="Nusrat Jahan"/>
    <n v="240639.61"/>
    <n v="0"/>
    <n v="-3"/>
    <x v="0"/>
  </r>
  <r>
    <s v="invoices_2026-06.csv"/>
    <s v="INV-202606-0255"/>
    <s v="C045"/>
    <d v="2026-06-26T00:00:00"/>
    <d v="2026-07-11T00:00:00"/>
    <n v="48436.39"/>
    <s v="Mahbub Alam"/>
    <n v="48436.39"/>
    <n v="0"/>
    <n v="51"/>
    <x v="0"/>
  </r>
  <r>
    <s v="invoices_2026-07.csv"/>
    <s v="INV-202607-0219"/>
    <s v="C025"/>
    <d v="2026-07-24T00:00:00"/>
    <d v="2026-09-07T00:00:00"/>
    <n v="221386.35"/>
    <s v="Imran Hossain"/>
    <n v="221386.35"/>
    <n v="0"/>
    <n v="-7"/>
    <x v="0"/>
  </r>
  <r>
    <s v="invoices_2026-07.csv"/>
    <s v="INV-202607-0269"/>
    <s v="C040"/>
    <d v="2026-07-28T00:00:00"/>
    <d v="2026-09-26T00:00:00"/>
    <n v="70485.009999999995"/>
    <s v="Nusrat Jahan"/>
    <n v="70485.009999999995"/>
    <n v="0"/>
    <n v="-26"/>
    <x v="0"/>
  </r>
  <r>
    <s v="invoices_2026-06.csv"/>
    <s v="INV-202606-0258"/>
    <s v="C009"/>
    <d v="2026-06-26T00:00:00"/>
    <d v="2026-08-10T00:00:00"/>
    <n v="165245.9"/>
    <s v="Farzana Akter"/>
    <m/>
    <n v="165245.9"/>
    <n v="21"/>
    <x v="4"/>
  </r>
  <r>
    <s v="invoices_2026-06.csv"/>
    <s v="INV-202606-0259"/>
    <s v="C028"/>
    <d v="2026-06-26T00:00:00"/>
    <d v="2026-08-25T00:00:00"/>
    <n v="275782.63"/>
    <s v="Shirin Sultana"/>
    <m/>
    <n v="275782.63"/>
    <n v="6"/>
    <x v="4"/>
  </r>
  <r>
    <s v="invoices_2026-06.csv"/>
    <s v="INV-202606-0262"/>
    <s v="C033"/>
    <d v="2026-06-26T00:00:00"/>
    <d v="2026-07-26T00:00:00"/>
    <n v="191643.33"/>
    <s v="Nusrat Jahan"/>
    <n v="191643.33"/>
    <n v="0"/>
    <n v="36"/>
    <x v="0"/>
  </r>
  <r>
    <s v="invoices_2026-06.csv"/>
    <s v="INV-202606-0263"/>
    <s v="C030"/>
    <d v="2026-06-26T00:00:00"/>
    <d v="2026-07-26T00:00:00"/>
    <n v="161848.87"/>
    <s v="Tanvir Ahmed"/>
    <n v="161848.87"/>
    <n v="0"/>
    <n v="36"/>
    <x v="0"/>
  </r>
  <r>
    <s v="invoices_2026-07.csv"/>
    <s v="INV-202607-0046"/>
    <s v="C045"/>
    <d v="2026-07-05T00:00:00"/>
    <d v="2026-07-20T00:00:00"/>
    <n v="21560.65"/>
    <s v="Mahbub Alam"/>
    <n v="21560.65"/>
    <n v="0"/>
    <n v="42"/>
    <x v="0"/>
  </r>
  <r>
    <s v="invoices_2026-07.csv"/>
    <s v="INV-202607-0159"/>
    <s v="C045"/>
    <d v="2026-07-18T00:00:00"/>
    <d v="2026-08-02T00:00:00"/>
    <n v="60510.86"/>
    <s v="Mahbub Alam"/>
    <n v="60510.86"/>
    <n v="0"/>
    <n v="29"/>
    <x v="0"/>
  </r>
  <r>
    <s v="invoices_2026-07.csv"/>
    <s v="INV-202607-0170"/>
    <s v="C014"/>
    <d v="2026-07-19T00:00:00"/>
    <d v="2026-09-17T00:00:00"/>
    <n v="1049132.76"/>
    <s v="Nusrat Jahan"/>
    <n v="575133.57999999996"/>
    <n v="473999.18"/>
    <n v="-17"/>
    <x v="5"/>
  </r>
  <r>
    <s v="invoices_2026-07.csv"/>
    <s v="INV-202607-0229"/>
    <s v="C035"/>
    <d v="2026-07-25T00:00:00"/>
    <d v="2026-09-08T00:00:00"/>
    <n v="243891.03"/>
    <s v="Farzana Akter"/>
    <n v="243891.03"/>
    <n v="0"/>
    <n v="-8"/>
    <x v="0"/>
  </r>
  <r>
    <s v="invoices_2026-07.csv"/>
    <s v="INV-202607-0252"/>
    <s v="C040"/>
    <d v="2026-07-27T00:00:00"/>
    <d v="2026-09-25T00:00:00"/>
    <n v="698784.1"/>
    <s v="Nusrat Jahan"/>
    <n v="698784.1"/>
    <n v="0"/>
    <n v="-25"/>
    <x v="0"/>
  </r>
  <r>
    <s v="invoices_2026-06.csv"/>
    <s v="INV-202606-0268"/>
    <s v="C012"/>
    <d v="2026-06-27T00:00:00"/>
    <d v="2026-07-27T00:00:00"/>
    <n v="103985.58"/>
    <s v="Shirin Sultana"/>
    <n v="103985.58"/>
    <n v="0"/>
    <n v="35"/>
    <x v="0"/>
  </r>
  <r>
    <s v="invoices_2026-07.csv"/>
    <s v="INV-202607-0257"/>
    <s v="C033"/>
    <d v="2026-07-27T00:00:00"/>
    <d v="2026-08-26T00:00:00"/>
    <n v="92008.36"/>
    <s v="Nusrat Jahan"/>
    <n v="92008.36"/>
    <n v="0"/>
    <n v="5"/>
    <x v="0"/>
  </r>
  <r>
    <s v="invoices_2026-06.csv"/>
    <s v="INV-202606-0269"/>
    <s v="C045"/>
    <d v="2026-06-27T00:00:00"/>
    <d v="2026-07-12T00:00:00"/>
    <n v="16083.2"/>
    <s v="Mahbub Alam"/>
    <n v="16083.2"/>
    <n v="0"/>
    <n v="50"/>
    <x v="0"/>
  </r>
  <r>
    <s v="invoices_2026-06.csv"/>
    <s v="INV-202606-0270"/>
    <s v="C020"/>
    <d v="2026-06-27T00:00:00"/>
    <d v="2026-08-26T00:00:00"/>
    <n v="391122.33"/>
    <s v="Nusrat Jahan"/>
    <m/>
    <n v="391122.33"/>
    <n v="5"/>
    <x v="4"/>
  </r>
  <r>
    <s v="invoices_2026-06.csv"/>
    <s v="INV-202606-0274"/>
    <s v="C046"/>
    <d v="2026-06-27T00:00:00"/>
    <d v="2026-07-27T00:00:00"/>
    <n v="22661.5"/>
    <s v="Mahbub Alam"/>
    <n v="22661.5"/>
    <n v="0"/>
    <n v="35"/>
    <x v="0"/>
  </r>
  <r>
    <s v="invoices_2026-06.csv"/>
    <s v="INV-202606-0275"/>
    <s v="C042"/>
    <d v="2026-06-27T00:00:00"/>
    <d v="2026-07-27T00:00:00"/>
    <n v="11940.8"/>
    <s v="Nusrat Jahan"/>
    <n v="11940.8"/>
    <n v="0"/>
    <n v="35"/>
    <x v="0"/>
  </r>
  <r>
    <s v="invoices_2026-06.csv"/>
    <s v="INV-202606-0276"/>
    <s v="C033"/>
    <d v="2026-06-27T00:00:00"/>
    <d v="2026-07-27T00:00:00"/>
    <n v="348863.68"/>
    <s v="Nusrat Jahan"/>
    <n v="348863.68"/>
    <n v="0"/>
    <n v="35"/>
    <x v="0"/>
  </r>
  <r>
    <s v="invoices_2026-06.csv"/>
    <s v="INV-202606-0279"/>
    <s v="C005"/>
    <d v="2026-06-28T00:00:00"/>
    <d v="2026-07-28T00:00:00"/>
    <n v="95766.06"/>
    <s v="Mahbub Alam"/>
    <n v="95766.06"/>
    <n v="0"/>
    <n v="34"/>
    <x v="0"/>
  </r>
  <r>
    <s v="invoices_2026-06.csv"/>
    <s v="INV-202606-0284"/>
    <s v="C040"/>
    <d v="2026-06-28T00:00:00"/>
    <d v="2026-08-27T00:00:00"/>
    <n v="69279.73"/>
    <s v="Nusrat Jahan"/>
    <n v="40287.18"/>
    <n v="28992.55"/>
    <n v="4"/>
    <x v="4"/>
  </r>
  <r>
    <s v="invoices_2026-06.csv"/>
    <s v="INV-202606-0285"/>
    <s v="C010"/>
    <d v="2026-06-29T00:00:00"/>
    <d v="2026-07-14T00:00:00"/>
    <n v="91285.58"/>
    <s v="Imran Hossain"/>
    <m/>
    <n v="91285.58"/>
    <n v="48"/>
    <x v="3"/>
  </r>
  <r>
    <s v="invoices_2026-06.csv"/>
    <s v="INV-202606-0286"/>
    <s v="C044"/>
    <d v="2026-06-29T00:00:00"/>
    <d v="2026-07-29T00:00:00"/>
    <n v="104505.31"/>
    <s v="Mahbub Alam"/>
    <n v="104505.31"/>
    <n v="0"/>
    <n v="33"/>
    <x v="0"/>
  </r>
  <r>
    <s v="invoices_2026-07.csv"/>
    <s v="INV-202607-0095"/>
    <s v="C003"/>
    <d v="2026-07-12T00:00:00"/>
    <d v="2026-08-11T00:00:00"/>
    <n v="28565.09"/>
    <s v="Mahbub Alam"/>
    <n v="28565.09"/>
    <n v="0"/>
    <n v="20"/>
    <x v="0"/>
  </r>
  <r>
    <s v="invoices_2026-07.csv"/>
    <s v="INV-202607-0096"/>
    <s v="C004"/>
    <d v="2026-07-12T00:00:00"/>
    <d v="2026-08-26T00:00:00"/>
    <n v="150172.91"/>
    <s v="Nusrat Jahan"/>
    <n v="150172.91"/>
    <n v="0"/>
    <n v="5"/>
    <x v="0"/>
  </r>
  <r>
    <s v="invoices_2026-06.csv"/>
    <s v="INV-202606-0288"/>
    <s v="C005"/>
    <d v="2026-06-29T00:00:00"/>
    <d v="2026-07-29T00:00:00"/>
    <n v="95184.34"/>
    <s v="Mahbub Alam"/>
    <n v="95184.34"/>
    <n v="0"/>
    <n v="33"/>
    <x v="0"/>
  </r>
  <r>
    <s v="invoices_2026-07.csv"/>
    <s v="INV-202607-0107"/>
    <s v="C022"/>
    <d v="2026-07-13T00:00:00"/>
    <d v="2026-07-28T00:00:00"/>
    <n v="30463.82"/>
    <s v="Mahbub Alam"/>
    <n v="30463.82"/>
    <n v="0"/>
    <n v="34"/>
    <x v="0"/>
  </r>
  <r>
    <s v="invoices_2026-07.csv"/>
    <s v="INV-202607-0118"/>
    <s v="C006"/>
    <d v="2026-07-14T00:00:00"/>
    <d v="2026-08-28T00:00:00"/>
    <n v="557484.42000000004"/>
    <s v="Nusrat Jahan"/>
    <n v="557484.42000000004"/>
    <n v="0"/>
    <n v="3"/>
    <x v="0"/>
  </r>
  <r>
    <s v="invoices_2026-06.csv"/>
    <s v="INV-202606-0290"/>
    <s v="C017"/>
    <d v="2026-06-30T00:00:00"/>
    <d v="2026-07-15T00:00:00"/>
    <n v="28476"/>
    <s v="Tanvir Ahmed"/>
    <n v="28476"/>
    <n v="0"/>
    <n v="47"/>
    <x v="0"/>
  </r>
  <r>
    <s v="invoices_2026-07.csv"/>
    <s v="INV-202607-0174"/>
    <s v="C033"/>
    <d v="2026-07-19T00:00:00"/>
    <d v="2026-08-18T00:00:00"/>
    <n v="325370.12"/>
    <s v="Nusrat Jahan"/>
    <n v="325370.12"/>
    <n v="0"/>
    <n v="13"/>
    <x v="0"/>
  </r>
  <r>
    <s v="invoices_2026-06.csv"/>
    <s v="INV-202606-0291"/>
    <s v="C020"/>
    <d v="2026-06-30T00:00:00"/>
    <d v="2026-08-29T00:00:00"/>
    <n v="182202.63"/>
    <s v="Nusrat Jahan"/>
    <m/>
    <n v="182202.63"/>
    <n v="2"/>
    <x v="4"/>
  </r>
  <r>
    <s v="invoices_2026-07.csv"/>
    <s v="INV-202607-0243"/>
    <s v="C007"/>
    <d v="2026-07-26T00:00:00"/>
    <d v="2026-08-25T00:00:00"/>
    <n v="786856.6"/>
    <s v="Mahbub Alam"/>
    <n v="786856.6"/>
    <n v="0"/>
    <n v="6"/>
    <x v="0"/>
  </r>
  <r>
    <s v="invoices_2026-06.csv"/>
    <s v="INV-202606-0295"/>
    <s v="C045"/>
    <d v="2026-06-30T00:00:00"/>
    <d v="2026-07-15T00:00:00"/>
    <n v="63098.81"/>
    <s v="Mahbub Alam"/>
    <n v="63098.81"/>
    <n v="0"/>
    <n v="47"/>
    <x v="0"/>
  </r>
  <r>
    <s v="invoices_2026-06.csv"/>
    <s v="INV-202606-0297"/>
    <s v="C019"/>
    <d v="2026-06-30T00:00:00"/>
    <d v="2026-08-29T00:00:00"/>
    <n v="132127.26"/>
    <s v="Tanvir Ahmed"/>
    <m/>
    <n v="132127.26"/>
    <n v="2"/>
    <x v="4"/>
  </r>
  <r>
    <s v="invoices_2026-06.csv"/>
    <s v="INV-202606-0298"/>
    <s v="C024"/>
    <d v="2026-06-30T00:00:00"/>
    <d v="2026-07-30T00:00:00"/>
    <n v="23012.44"/>
    <s v="Farzana Akter"/>
    <m/>
    <n v="23012.44"/>
    <n v="32"/>
    <x v="3"/>
  </r>
  <r>
    <s v="invoices_2026-06.csv"/>
    <s v="INV-202606-0300"/>
    <s v="C045"/>
    <d v="2026-06-30T00:00:00"/>
    <d v="2026-07-15T00:00:00"/>
    <n v="59032.56"/>
    <s v="Mahbub Alam"/>
    <n v="59032.56"/>
    <n v="0"/>
    <n v="47"/>
    <x v="0"/>
  </r>
  <r>
    <s v="invoices_2026-07.csv"/>
    <s v="INV-202607-0001"/>
    <s v="C025"/>
    <d v="2026-07-01T00:00:00"/>
    <d v="2026-08-15T00:00:00"/>
    <n v="70336.95"/>
    <s v="Imran Hossain"/>
    <n v="70336.95"/>
    <n v="0"/>
    <n v="16"/>
    <x v="0"/>
  </r>
  <r>
    <s v="invoices_2026-07.csv"/>
    <s v="INV-202607-0003"/>
    <s v="C044"/>
    <d v="2026-07-01T00:00:00"/>
    <d v="2026-07-31T00:00:00"/>
    <n v="2000000"/>
    <s v="Mahbub Alam"/>
    <n v="2000000"/>
    <n v="0"/>
    <n v="31"/>
    <x v="0"/>
  </r>
  <r>
    <s v="invoices_2026-07.csv"/>
    <s v="INV-202607-0132"/>
    <s v="C009"/>
    <d v="2026-07-15T00:00:00"/>
    <d v="2026-08-29T00:00:00"/>
    <n v="507305.9"/>
    <s v="Farzana Akter"/>
    <n v="507305.9"/>
    <n v="0"/>
    <n v="2"/>
    <x v="0"/>
  </r>
  <r>
    <s v="invoices_2026-07.csv"/>
    <s v="INV-202607-0168"/>
    <s v="C045"/>
    <d v="2026-07-18T00:00:00"/>
    <d v="2026-08-02T00:00:00"/>
    <n v="5289.05"/>
    <s v="Mahbub Alam"/>
    <n v="5289.05"/>
    <n v="0"/>
    <n v="29"/>
    <x v="0"/>
  </r>
  <r>
    <s v="invoices_2026-07.csv"/>
    <s v="INV-202607-0007"/>
    <s v="C005"/>
    <d v="2026-07-01T00:00:00"/>
    <d v="2026-07-31T00:00:00"/>
    <n v="152812.35"/>
    <s v="Mahbub Alam"/>
    <m/>
    <n v="152812.35"/>
    <n v="31"/>
    <x v="3"/>
  </r>
  <r>
    <s v="invoices_2026-07.csv"/>
    <s v="INV-202607-0198"/>
    <s v="C040"/>
    <d v="2026-07-22T00:00:00"/>
    <d v="2026-09-20T00:00:00"/>
    <n v="273433.34000000003"/>
    <s v="Nusrat Jahan"/>
    <n v="273433.34000000003"/>
    <n v="0"/>
    <n v="-20"/>
    <x v="0"/>
  </r>
  <r>
    <s v="invoices_2026-07.csv"/>
    <s v="INV-202607-0008"/>
    <s v="C046"/>
    <d v="2026-07-01T00:00:00"/>
    <d v="2026-07-31T00:00:00"/>
    <n v="121271.58"/>
    <s v="Mahbub Alam"/>
    <m/>
    <n v="121271.58"/>
    <n v="31"/>
    <x v="3"/>
  </r>
  <r>
    <s v="invoices_2026-07.csv"/>
    <s v="INV-202607-0244"/>
    <s v="C018"/>
    <d v="2026-07-26T00:00:00"/>
    <d v="2026-08-25T00:00:00"/>
    <n v="111510.5"/>
    <s v="Shirin Sultana"/>
    <n v="111510.5"/>
    <n v="0"/>
    <n v="6"/>
    <x v="0"/>
  </r>
  <r>
    <s v="invoices_2026-07.csv"/>
    <s v="INV-202607-0012"/>
    <s v="C020"/>
    <d v="2026-07-02T00:00:00"/>
    <d v="2026-08-31T00:00:00"/>
    <n v="121482.95"/>
    <s v="Nusrat Jahan"/>
    <m/>
    <n v="121482.95"/>
    <n v="0"/>
    <x v="5"/>
  </r>
  <r>
    <s v="invoices_2026-07.csv"/>
    <s v="INV-202607-0015"/>
    <s v="C004"/>
    <d v="2026-07-02T00:00:00"/>
    <d v="2026-08-16T00:00:00"/>
    <n v="321182.13"/>
    <s v="Nusrat Jahan"/>
    <m/>
    <n v="321182.13"/>
    <n v="15"/>
    <x v="4"/>
  </r>
  <r>
    <s v="invoices_2026-07.csv"/>
    <s v="INV-202607-0020"/>
    <s v="C007"/>
    <d v="2026-07-02T00:00:00"/>
    <d v="2026-08-01T00:00:00"/>
    <n v="227159.17"/>
    <s v="Mahbub Alam"/>
    <n v="227159.17"/>
    <n v="0"/>
    <n v="30"/>
    <x v="0"/>
  </r>
  <r>
    <s v="invoices_2026-07.csv"/>
    <s v="INV-202607-0021"/>
    <s v="C020"/>
    <d v="2026-07-03T00:00:00"/>
    <d v="2026-09-01T00:00:00"/>
    <n v="241081.09"/>
    <s v="Nusrat Jahan"/>
    <m/>
    <n v="241081.09"/>
    <n v="-1"/>
    <x v="5"/>
  </r>
  <r>
    <s v="invoices_2026-07.csv"/>
    <s v="INV-202607-0025"/>
    <s v="C032"/>
    <d v="2026-07-03T00:00:00"/>
    <d v="2026-08-17T00:00:00"/>
    <n v="664789.26"/>
    <s v="Shirin Sultana"/>
    <n v="339695.69"/>
    <n v="325093.57"/>
    <n v="14"/>
    <x v="4"/>
  </r>
  <r>
    <s v="invoices_2026-07.csv"/>
    <s v="INV-202607-0047"/>
    <s v="C013"/>
    <d v="2026-07-05T00:00:00"/>
    <d v="2026-09-03T00:00:00"/>
    <n v="1088400.78"/>
    <s v="Nusrat Jahan"/>
    <n v="1088400.78"/>
    <n v="0"/>
    <n v="-3"/>
    <x v="0"/>
  </r>
  <r>
    <s v="invoices_2026-07.csv"/>
    <s v="INV-202607-0028"/>
    <s v="C043"/>
    <d v="2026-07-03T00:00:00"/>
    <d v="2026-08-02T00:00:00"/>
    <n v="96128.09"/>
    <s v="Shirin Sultana"/>
    <n v="96128.09"/>
    <n v="0"/>
    <n v="29"/>
    <x v="0"/>
  </r>
  <r>
    <s v="invoices_2026-07.csv"/>
    <s v="INV-202607-0103"/>
    <s v="C046"/>
    <d v="2026-07-13T00:00:00"/>
    <d v="2026-08-12T00:00:00"/>
    <n v="520802.58"/>
    <s v="Mahbub Alam"/>
    <n v="335059.68"/>
    <n v="185742.9"/>
    <n v="19"/>
    <x v="4"/>
  </r>
  <r>
    <s v="invoices_2026-07.csv"/>
    <s v="INV-202607-0169"/>
    <s v="C020"/>
    <d v="2026-07-18T00:00:00"/>
    <d v="2026-09-16T00:00:00"/>
    <n v="233976.68"/>
    <s v="Nusrat Jahan"/>
    <n v="233976.68"/>
    <n v="0"/>
    <n v="-16"/>
    <x v="0"/>
  </r>
  <r>
    <s v="invoices_2026-07.csv"/>
    <s v="INV-202607-0195"/>
    <s v="C033"/>
    <d v="2026-07-22T00:00:00"/>
    <d v="2026-08-21T00:00:00"/>
    <n v="74194.240000000005"/>
    <s v="Nusrat Jahan"/>
    <n v="74194.240000000005"/>
    <n v="0"/>
    <n v="10"/>
    <x v="0"/>
  </r>
  <r>
    <s v="invoices_2026-07.csv"/>
    <s v="INV-202607-0218"/>
    <s v="C045"/>
    <d v="2026-07-24T00:00:00"/>
    <d v="2026-08-08T00:00:00"/>
    <n v="23187.02"/>
    <s v="Mahbub Alam"/>
    <n v="23187.02"/>
    <n v="0"/>
    <n v="23"/>
    <x v="0"/>
  </r>
  <r>
    <s v="invoices_2026-07.csv"/>
    <s v="INV-202607-0230"/>
    <s v="C044"/>
    <d v="2026-07-25T00:00:00"/>
    <d v="2026-08-24T00:00:00"/>
    <n v="866583.09"/>
    <s v="Mahbub Alam"/>
    <n v="866583.09"/>
    <n v="0"/>
    <n v="7"/>
    <x v="0"/>
  </r>
  <r>
    <s v="invoices_2026-07.csv"/>
    <s v="INV-202607-0233"/>
    <s v="C041"/>
    <d v="2026-07-25T00:00:00"/>
    <d v="2026-08-24T00:00:00"/>
    <n v="16378.65"/>
    <s v="Tanvir Ahmed"/>
    <n v="16378.65"/>
    <n v="0"/>
    <n v="7"/>
    <x v="0"/>
  </r>
  <r>
    <s v="invoices_2026-07.csv"/>
    <s v="INV-202607-0239"/>
    <s v="C017"/>
    <d v="2026-07-26T00:00:00"/>
    <d v="2026-08-10T00:00:00"/>
    <n v="50918.05"/>
    <s v="Tanvir Ahmed"/>
    <n v="50918.05"/>
    <n v="0"/>
    <n v="21"/>
    <x v="0"/>
  </r>
  <r>
    <s v="invoices_2026-07.csv"/>
    <s v="INV-202607-0035"/>
    <s v="C032"/>
    <d v="2026-07-04T00:00:00"/>
    <d v="2026-08-18T00:00:00"/>
    <n v="347537.45"/>
    <s v="Shirin Sultana"/>
    <m/>
    <n v="347537.45"/>
    <n v="13"/>
    <x v="4"/>
  </r>
  <r>
    <s v="invoices_2026-07.csv"/>
    <s v="INV-202607-0036"/>
    <s v="C013"/>
    <d v="2026-07-04T00:00:00"/>
    <d v="2026-09-02T00:00:00"/>
    <n v="46323.77"/>
    <s v="Nusrat Jahan"/>
    <m/>
    <n v="46323.77"/>
    <n v="-2"/>
    <x v="5"/>
  </r>
  <r>
    <s v="invoices_2026-07.csv"/>
    <s v="INV-202607-0043"/>
    <s v="C044"/>
    <d v="2026-07-05T00:00:00"/>
    <d v="2026-08-04T00:00:00"/>
    <n v="31772"/>
    <s v="Mahbub Alam"/>
    <n v="31772"/>
    <n v="0"/>
    <n v="27"/>
    <x v="0"/>
  </r>
  <r>
    <s v="invoices_2026-07.csv"/>
    <s v="INV-202607-0045"/>
    <s v="C050"/>
    <d v="2026-07-05T00:00:00"/>
    <d v="2026-07-20T00:00:00"/>
    <n v="24034.41"/>
    <s v="Nusrat Jahan"/>
    <n v="24034.41"/>
    <n v="0"/>
    <n v="42"/>
    <x v="0"/>
  </r>
  <r>
    <s v="invoices_2026-07.csv"/>
    <s v="INV-202607-0232"/>
    <s v="C030"/>
    <d v="2026-07-25T00:00:00"/>
    <d v="2026-08-24T00:00:00"/>
    <n v="22234.07"/>
    <s v="Tanvir Ahmed"/>
    <n v="22234.07"/>
    <n v="0"/>
    <n v="7"/>
    <x v="0"/>
  </r>
  <r>
    <s v="invoices_2026-07.csv"/>
    <s v="INV-202607-0237"/>
    <s v="C030"/>
    <d v="2026-07-26T00:00:00"/>
    <d v="2026-08-25T00:00:00"/>
    <n v="10461.08"/>
    <s v="Tanvir Ahmed"/>
    <n v="10461.08"/>
    <n v="0"/>
    <n v="6"/>
    <x v="0"/>
  </r>
  <r>
    <s v="invoices_2026-07.csv"/>
    <s v="INV-202607-0049"/>
    <s v="C035"/>
    <d v="2026-07-06T00:00:00"/>
    <d v="2026-08-20T00:00:00"/>
    <n v="409171.81"/>
    <s v="Farzana Akter"/>
    <m/>
    <n v="409171.81"/>
    <n v="11"/>
    <x v="4"/>
  </r>
  <r>
    <s v="invoices_2026-07.csv"/>
    <s v="INV-202607-0245"/>
    <s v="C042"/>
    <d v="2026-07-26T00:00:00"/>
    <d v="2026-08-25T00:00:00"/>
    <n v="24434.04"/>
    <s v="Nusrat Jahan"/>
    <n v="24434.04"/>
    <n v="0"/>
    <n v="6"/>
    <x v="0"/>
  </r>
  <r>
    <s v="invoices_2026-07.csv"/>
    <s v="INV-202607-0050"/>
    <s v="C029"/>
    <d v="2026-07-06T00:00:00"/>
    <d v="2026-08-05T00:00:00"/>
    <n v="98451.1"/>
    <s v="Farzana Akter"/>
    <m/>
    <n v="98451.1"/>
    <n v="26"/>
    <x v="4"/>
  </r>
  <r>
    <s v="invoices_2026-07.csv"/>
    <s v="INV-202607-0054"/>
    <s v="C014"/>
    <d v="2026-07-07T00:00:00"/>
    <d v="2026-09-05T00:00:00"/>
    <n v="27418.18"/>
    <s v="Nusrat Jahan"/>
    <m/>
    <n v="27418.18"/>
    <n v="-5"/>
    <x v="5"/>
  </r>
  <r>
    <s v="invoices_2026-07.csv"/>
    <s v="INV-202607-0055"/>
    <s v="C005"/>
    <d v="2026-07-07T00:00:00"/>
    <d v="2026-08-06T00:00:00"/>
    <n v="92055.679999999993"/>
    <s v="Mahbub Alam"/>
    <n v="92055.679999999993"/>
    <n v="0"/>
    <n v="25"/>
    <x v="0"/>
  </r>
  <r>
    <s v="invoices_2026-07.csv"/>
    <s v="INV-202607-0057"/>
    <s v="C009"/>
    <d v="2026-07-07T00:00:00"/>
    <d v="2026-08-21T00:00:00"/>
    <n v="2000000"/>
    <s v="Farzana Akter"/>
    <m/>
    <n v="2000000"/>
    <n v="10"/>
    <x v="4"/>
  </r>
  <r>
    <s v="invoices_2026-07.csv"/>
    <s v="INV-202607-0058"/>
    <s v="C005"/>
    <d v="2026-07-08T00:00:00"/>
    <d v="2026-08-07T00:00:00"/>
    <n v="148438.73000000001"/>
    <s v="Mahbub Alam"/>
    <m/>
    <n v="148438.73000000001"/>
    <n v="24"/>
    <x v="4"/>
  </r>
  <r>
    <s v="invoices_2026-07.csv"/>
    <s v="INV-202607-0073"/>
    <s v="C013"/>
    <d v="2026-07-09T00:00:00"/>
    <d v="2026-09-07T00:00:00"/>
    <n v="38186.720000000001"/>
    <s v="Nusrat Jahan"/>
    <n v="38186.720000000001"/>
    <n v="0"/>
    <n v="-7"/>
    <x v="0"/>
  </r>
  <r>
    <s v="invoices_2026-07.csv"/>
    <s v="INV-202607-0061"/>
    <s v="C035"/>
    <d v="2026-07-08T00:00:00"/>
    <d v="2026-08-22T00:00:00"/>
    <n v="641961.55000000005"/>
    <s v="Farzana Akter"/>
    <n v="641961.55000000005"/>
    <n v="0"/>
    <n v="9"/>
    <x v="0"/>
  </r>
  <r>
    <s v="invoices_2026-07.csv"/>
    <s v="INV-202607-0114"/>
    <s v="C026"/>
    <d v="2026-07-14T00:00:00"/>
    <d v="2026-08-13T00:00:00"/>
    <n v="2000000"/>
    <s v="Nusrat Jahan"/>
    <n v="2000000"/>
    <n v="0"/>
    <n v="18"/>
    <x v="0"/>
  </r>
  <r>
    <s v="invoices_2026-07.csv"/>
    <s v="INV-202607-0146"/>
    <s v="C009"/>
    <d v="2026-07-17T00:00:00"/>
    <d v="2026-08-31T00:00:00"/>
    <n v="180147.88"/>
    <s v="Farzana Akter"/>
    <n v="180147.88"/>
    <n v="0"/>
    <n v="0"/>
    <x v="0"/>
  </r>
  <r>
    <s v="invoices_2026-07.csv"/>
    <s v="INV-202607-0063"/>
    <s v="C019"/>
    <d v="2026-07-08T00:00:00"/>
    <d v="2026-09-06T00:00:00"/>
    <n v="236150.73"/>
    <s v="Tanvir Ahmed"/>
    <n v="236150.73"/>
    <n v="0"/>
    <n v="-6"/>
    <x v="0"/>
  </r>
  <r>
    <s v="invoices_2026-07.csv"/>
    <s v="INV-202607-0172"/>
    <s v="C038"/>
    <d v="2026-07-19T00:00:00"/>
    <d v="2026-09-17T00:00:00"/>
    <n v="109638.7"/>
    <s v="Imran Hossain"/>
    <n v="109638.7"/>
    <n v="0"/>
    <n v="-17"/>
    <x v="0"/>
  </r>
  <r>
    <s v="invoices_2026-07.csv"/>
    <s v="INV-202607-0220"/>
    <s v="C008"/>
    <d v="2026-07-24T00:00:00"/>
    <d v="2026-09-07T00:00:00"/>
    <n v="66386.02"/>
    <s v="Shirin Sultana"/>
    <n v="66386.02"/>
    <n v="0"/>
    <n v="-7"/>
    <x v="0"/>
  </r>
  <r>
    <s v="invoices_2026-07.csv"/>
    <s v="INV-202607-0066"/>
    <s v="C020"/>
    <d v="2026-07-09T00:00:00"/>
    <d v="2026-09-07T00:00:00"/>
    <n v="113631.85"/>
    <s v="Nusrat Jahan"/>
    <m/>
    <n v="113631.85"/>
    <n v="-7"/>
    <x v="5"/>
  </r>
  <r>
    <s v="invoices_2026-07.csv"/>
    <s v="INV-202607-0068"/>
    <s v="C016"/>
    <d v="2026-07-09T00:00:00"/>
    <d v="2026-08-08T00:00:00"/>
    <n v="41171.22"/>
    <s v="Shirin Sultana"/>
    <m/>
    <n v="41171.22"/>
    <n v="23"/>
    <x v="4"/>
  </r>
  <r>
    <s v="invoices_2026-07.csv"/>
    <s v="INV-202607-0071"/>
    <s v="C028"/>
    <d v="2026-07-09T00:00:00"/>
    <d v="2026-09-07T00:00:00"/>
    <n v="272074.48"/>
    <s v="Shirin Sultana"/>
    <n v="272074.48"/>
    <n v="0"/>
    <n v="-7"/>
    <x v="0"/>
  </r>
  <r>
    <s v="invoices_2026-07.csv"/>
    <s v="INV-202607-0078"/>
    <s v="C008"/>
    <d v="2026-07-10T00:00:00"/>
    <d v="2026-08-24T00:00:00"/>
    <n v="645974.92000000004"/>
    <s v="Shirin Sultana"/>
    <n v="645974.92000000004"/>
    <n v="0"/>
    <n v="7"/>
    <x v="0"/>
  </r>
  <r>
    <s v="invoices_2026-07.csv"/>
    <s v="INV-202607-0079"/>
    <s v="C004"/>
    <d v="2026-07-10T00:00:00"/>
    <d v="2026-08-24T00:00:00"/>
    <n v="206340.32"/>
    <s v="Nusrat Jahan"/>
    <m/>
    <n v="206340.32"/>
    <n v="7"/>
    <x v="4"/>
  </r>
  <r>
    <s v="invoices_2026-07.csv"/>
    <s v="INV-202607-0081"/>
    <s v="C020"/>
    <d v="2026-07-10T00:00:00"/>
    <d v="2026-09-08T00:00:00"/>
    <n v="64938.68"/>
    <s v="Nusrat Jahan"/>
    <m/>
    <n v="64938.68"/>
    <n v="-8"/>
    <x v="5"/>
  </r>
  <r>
    <s v="invoices_2026-07.csv"/>
    <s v="INV-202607-0084"/>
    <s v="C013"/>
    <d v="2026-07-10T00:00:00"/>
    <d v="2026-09-08T00:00:00"/>
    <n v="959196.6"/>
    <s v="Nusrat Jahan"/>
    <m/>
    <n v="959196.6"/>
    <n v="-8"/>
    <x v="5"/>
  </r>
  <r>
    <s v="invoices_2026-07.csv"/>
    <s v="INV-202607-0085"/>
    <s v="C013"/>
    <d v="2026-07-11T00:00:00"/>
    <d v="2026-09-09T00:00:00"/>
    <n v="194243.89"/>
    <s v="Nusrat Jahan"/>
    <n v="194243.89"/>
    <n v="0"/>
    <n v="-9"/>
    <x v="0"/>
  </r>
  <r>
    <s v="invoices_2026-07.csv"/>
    <s v="INV-202607-0086"/>
    <s v="C007"/>
    <d v="2026-07-11T00:00:00"/>
    <d v="2026-08-10T00:00:00"/>
    <n v="189288.77"/>
    <s v="Mahbub Alam"/>
    <n v="189288.77"/>
    <n v="0"/>
    <n v="21"/>
    <x v="0"/>
  </r>
  <r>
    <s v="invoices_2026-07.csv"/>
    <s v="INV-202607-0087"/>
    <s v="C028"/>
    <d v="2026-07-11T00:00:00"/>
    <d v="2026-09-09T00:00:00"/>
    <n v="205789.64"/>
    <s v="Shirin Sultana"/>
    <m/>
    <n v="205789.64"/>
    <n v="-9"/>
    <x v="5"/>
  </r>
  <r>
    <s v="invoices_2026-07.csv"/>
    <s v="INV-202607-0134"/>
    <s v="C040"/>
    <d v="2026-07-16T00:00:00"/>
    <d v="2026-09-14T00:00:00"/>
    <n v="52910.04"/>
    <s v="Nusrat Jahan"/>
    <n v="52910.04"/>
    <n v="0"/>
    <n v="-14"/>
    <x v="0"/>
  </r>
  <r>
    <s v="invoices_2026-07.csv"/>
    <s v="INV-202607-0228"/>
    <s v="C033"/>
    <d v="2026-07-25T00:00:00"/>
    <d v="2026-08-24T00:00:00"/>
    <n v="405359.83"/>
    <s v="Nusrat Jahan"/>
    <n v="405359.83"/>
    <n v="0"/>
    <n v="7"/>
    <x v="0"/>
  </r>
  <r>
    <s v="invoices_2026-07.csv"/>
    <s v="INV-202607-0090"/>
    <s v="C033"/>
    <d v="2026-07-11T00:00:00"/>
    <d v="2026-08-10T00:00:00"/>
    <n v="196471.9"/>
    <s v="Nusrat Jahan"/>
    <n v="196471.9"/>
    <n v="0"/>
    <n v="21"/>
    <x v="0"/>
  </r>
  <r>
    <s v="invoices_2026-07.csv"/>
    <s v="INV-202607-0258"/>
    <s v="C048"/>
    <d v="2026-07-27T00:00:00"/>
    <d v="2026-08-26T00:00:00"/>
    <n v="7847.4"/>
    <s v="Imran Hossain"/>
    <n v="7847.4"/>
    <n v="0"/>
    <n v="5"/>
    <x v="0"/>
  </r>
  <r>
    <s v="invoices_2026-07.csv"/>
    <s v="INV-202607-0091"/>
    <s v="C020"/>
    <d v="2026-07-11T00:00:00"/>
    <d v="2026-09-09T00:00:00"/>
    <n v="284617.7"/>
    <s v="Nusrat Jahan"/>
    <n v="284617.7"/>
    <n v="0"/>
    <n v="-9"/>
    <x v="0"/>
  </r>
  <r>
    <s v="invoices_2026-07.csv"/>
    <s v="INV-202607-0098"/>
    <s v="C034"/>
    <d v="2026-07-12T00:00:00"/>
    <d v="2026-07-27T00:00:00"/>
    <n v="16897.3"/>
    <s v="Nusrat Jahan"/>
    <n v="16897.3"/>
    <n v="0"/>
    <n v="35"/>
    <x v="0"/>
  </r>
  <r>
    <s v="invoices_2026-07.csv"/>
    <s v="INV-202607-0139"/>
    <s v="C025"/>
    <d v="2026-07-16T00:00:00"/>
    <d v="2026-08-30T00:00:00"/>
    <n v="150147.21"/>
    <s v="Imran Hossain"/>
    <n v="36128.57"/>
    <n v="114018.64"/>
    <n v="1"/>
    <x v="4"/>
  </r>
  <r>
    <s v="invoices_2026-07.csv"/>
    <s v="INV-202607-0150"/>
    <s v="C027"/>
    <d v="2026-07-17T00:00:00"/>
    <d v="2026-08-01T00:00:00"/>
    <n v="328119.59999999998"/>
    <s v="Imran Hossain"/>
    <n v="328119.59999999998"/>
    <n v="0"/>
    <n v="30"/>
    <x v="0"/>
  </r>
  <r>
    <s v="invoices_2026-07.csv"/>
    <s v="INV-202607-0101"/>
    <s v="C042"/>
    <d v="2026-07-13T00:00:00"/>
    <d v="2026-08-12T00:00:00"/>
    <n v="12873.93"/>
    <s v="Nusrat Jahan"/>
    <n v="12873.93"/>
    <n v="0"/>
    <n v="19"/>
    <x v="0"/>
  </r>
  <r>
    <s v="invoices_2026-07.csv"/>
    <s v="INV-202607-0264"/>
    <s v="C033"/>
    <d v="2026-07-28T00:00:00"/>
    <d v="2026-08-27T00:00:00"/>
    <n v="74822.570000000007"/>
    <s v="Nusrat Jahan"/>
    <n v="74822.570000000007"/>
    <n v="0"/>
    <n v="4"/>
    <x v="0"/>
  </r>
  <r>
    <s v="invoices_2026-07.csv"/>
    <s v="INV-202607-0268"/>
    <s v="C033"/>
    <d v="2026-07-28T00:00:00"/>
    <d v="2026-08-27T00:00:00"/>
    <n v="396619.61"/>
    <s v="Nusrat Jahan"/>
    <n v="162066.34"/>
    <n v="234553.27"/>
    <n v="4"/>
    <x v="4"/>
  </r>
  <r>
    <s v="invoices_2026-07.csv"/>
    <s v="INV-202607-0105"/>
    <s v="C013"/>
    <d v="2026-07-13T00:00:00"/>
    <d v="2026-09-11T00:00:00"/>
    <n v="145689.60999999999"/>
    <s v="Nusrat Jahan"/>
    <n v="145689.60999999999"/>
    <n v="0"/>
    <n v="-11"/>
    <x v="0"/>
  </r>
  <r>
    <s v="invoices_2026-07.csv"/>
    <s v="INV-202607-0111"/>
    <s v="C014"/>
    <d v="2026-07-14T00:00:00"/>
    <d v="2026-09-12T00:00:00"/>
    <n v="539514.11"/>
    <s v="Nusrat Jahan"/>
    <m/>
    <n v="539514.11"/>
    <n v="-12"/>
    <x v="5"/>
  </r>
  <r>
    <s v="invoices_2026-07.csv"/>
    <s v="INV-202607-0112"/>
    <s v="C044"/>
    <d v="2026-07-14T00:00:00"/>
    <d v="2026-08-13T00:00:00"/>
    <n v="66101.2"/>
    <s v="Mahbub Alam"/>
    <n v="48504.08"/>
    <n v="17597.12"/>
    <n v="18"/>
    <x v="4"/>
  </r>
  <r>
    <s v="invoices_2026-07.csv"/>
    <s v="INV-202607-0113"/>
    <s v="C002"/>
    <d v="2026-07-14T00:00:00"/>
    <d v="2026-08-28T00:00:00"/>
    <n v="153123.76999999999"/>
    <s v="Tanvir Ahmed"/>
    <m/>
    <n v="153123.76999999999"/>
    <n v="3"/>
    <x v="4"/>
  </r>
  <r>
    <s v="invoices_2026-07.csv"/>
    <s v="INV-202607-0119"/>
    <s v="C047"/>
    <d v="2026-07-14T00:00:00"/>
    <d v="2026-08-13T00:00:00"/>
    <n v="200118.27"/>
    <s v="Nusrat Jahan"/>
    <m/>
    <n v="200118.27"/>
    <n v="18"/>
    <x v="4"/>
  </r>
  <r>
    <s v="invoices_2026-07.csv"/>
    <s v="INV-202607-0120"/>
    <s v="C028"/>
    <d v="2026-07-14T00:00:00"/>
    <d v="2026-09-12T00:00:00"/>
    <n v="171272.86"/>
    <s v="Shirin Sultana"/>
    <m/>
    <n v="171272.86"/>
    <n v="-12"/>
    <x v="5"/>
  </r>
  <r>
    <s v="invoices_2026-07.csv"/>
    <s v="INV-202607-0121"/>
    <s v="C043"/>
    <d v="2026-07-14T00:00:00"/>
    <d v="2026-08-13T00:00:00"/>
    <n v="18253.689999999999"/>
    <s v="Shirin Sultana"/>
    <n v="18253.689999999999"/>
    <n v="0"/>
    <n v="18"/>
    <x v="0"/>
  </r>
  <r>
    <s v="invoices_2026-07.csv"/>
    <s v="INV-202607-0124"/>
    <s v="C020"/>
    <d v="2026-07-14T00:00:00"/>
    <d v="2026-09-12T00:00:00"/>
    <n v="499161.03"/>
    <s v="Nusrat Jahan"/>
    <m/>
    <n v="499161.03"/>
    <n v="-12"/>
    <x v="5"/>
  </r>
  <r>
    <s v="invoices_2026-07.csv"/>
    <s v="INV-202607-0125"/>
    <s v="C046"/>
    <d v="2026-07-15T00:00:00"/>
    <d v="2026-08-14T00:00:00"/>
    <n v="380484.06"/>
    <s v="Mahbub Alam"/>
    <m/>
    <n v="380484.06"/>
    <n v="17"/>
    <x v="4"/>
  </r>
  <r>
    <s v="invoices_2026-07.csv"/>
    <s v="INV-202607-0267"/>
    <s v="C013"/>
    <d v="2026-07-28T00:00:00"/>
    <d v="2026-09-26T00:00:00"/>
    <n v="249378.01"/>
    <s v="Nusrat Jahan"/>
    <n v="249378.01"/>
    <n v="0"/>
    <n v="-26"/>
    <x v="0"/>
  </r>
  <r>
    <s v="invoices_2026-07.csv"/>
    <s v="INV-202607-0276"/>
    <s v="C009"/>
    <d v="2026-07-29T00:00:00"/>
    <d v="2026-09-12T00:00:00"/>
    <n v="39686.85"/>
    <s v="Farzana Akter"/>
    <n v="39686.85"/>
    <n v="0"/>
    <n v="-12"/>
    <x v="0"/>
  </r>
  <r>
    <s v="invoices_2026-07.csv"/>
    <s v="INV-202607-0127"/>
    <s v="C012"/>
    <d v="2026-07-15T00:00:00"/>
    <d v="2026-08-14T00:00:00"/>
    <n v="39511.03"/>
    <s v="Shirin Sultana"/>
    <n v="39511.03"/>
    <n v="0"/>
    <n v="17"/>
    <x v="0"/>
  </r>
  <r>
    <s v="invoices_2026-07.csv"/>
    <s v="INV-202607-0128"/>
    <s v="C020"/>
    <d v="2026-07-15T00:00:00"/>
    <d v="2026-09-13T00:00:00"/>
    <n v="39650.620000000003"/>
    <s v="Nusrat Jahan"/>
    <m/>
    <n v="39650.620000000003"/>
    <n v="-13"/>
    <x v="5"/>
  </r>
  <r>
    <s v="invoices_2026-07.csv"/>
    <s v="INV-202607-0129"/>
    <s v="C037"/>
    <d v="2026-07-15T00:00:00"/>
    <d v="2026-07-30T00:00:00"/>
    <n v="58086.74"/>
    <s v="Tanvir Ahmed"/>
    <n v="58086.74"/>
    <n v="0"/>
    <n v="32"/>
    <x v="0"/>
  </r>
  <r>
    <s v="invoices_2026-07.csv"/>
    <s v="INV-202607-0131"/>
    <s v="C023"/>
    <d v="2026-07-15T00:00:00"/>
    <d v="2026-08-14T00:00:00"/>
    <n v="112996.15"/>
    <s v="Nusrat Jahan"/>
    <m/>
    <n v="112996.15"/>
    <n v="17"/>
    <x v="4"/>
  </r>
  <r>
    <s v="invoices_2026-07.csv"/>
    <s v="INV-202607-0136"/>
    <s v="C030"/>
    <d v="2026-07-16T00:00:00"/>
    <d v="2026-08-15T00:00:00"/>
    <n v="56476"/>
    <s v="Tanvir Ahmed"/>
    <m/>
    <n v="56476"/>
    <n v="16"/>
    <x v="4"/>
  </r>
  <r>
    <s v="invoices_2026-07.csv"/>
    <s v="INV-202607-0137"/>
    <s v="C045"/>
    <d v="2026-07-16T00:00:00"/>
    <d v="2026-07-31T00:00:00"/>
    <n v="95946.51"/>
    <s v="Mahbub Alam"/>
    <n v="95946.51"/>
    <n v="0"/>
    <n v="31"/>
    <x v="0"/>
  </r>
  <r>
    <s v="invoices_2026-07.csv"/>
    <s v="INV-202607-0141"/>
    <s v="C046"/>
    <d v="2026-07-16T00:00:00"/>
    <d v="2026-08-15T00:00:00"/>
    <n v="50616.66"/>
    <s v="Mahbub Alam"/>
    <n v="50616.66"/>
    <n v="0"/>
    <n v="16"/>
    <x v="0"/>
  </r>
  <r>
    <s v="invoices_2026-07.csv"/>
    <s v="INV-202607-0155"/>
    <s v="C013"/>
    <d v="2026-07-17T00:00:00"/>
    <d v="2026-09-15T00:00:00"/>
    <n v="190371.28"/>
    <s v="Nusrat Jahan"/>
    <n v="190371.28"/>
    <n v="0"/>
    <n v="-15"/>
    <x v="0"/>
  </r>
  <r>
    <s v="invoices_2026-07.csv"/>
    <s v="INV-202607-0176"/>
    <s v="C037"/>
    <d v="2026-07-19T00:00:00"/>
    <d v="2026-08-03T00:00:00"/>
    <n v="25254.12"/>
    <s v="Tanvir Ahmed"/>
    <n v="14598.57"/>
    <n v="10655.55"/>
    <n v="28"/>
    <x v="4"/>
  </r>
  <r>
    <s v="invoices_2026-07.csv"/>
    <s v="INV-202607-0181"/>
    <s v="C007"/>
    <d v="2026-07-20T00:00:00"/>
    <d v="2026-08-19T00:00:00"/>
    <n v="339030.57"/>
    <s v="Mahbub Alam"/>
    <n v="45664.49"/>
    <n v="293366.08"/>
    <n v="12"/>
    <x v="4"/>
  </r>
  <r>
    <s v="invoices_2026-07.csv"/>
    <s v="INV-202607-0144"/>
    <s v="C044"/>
    <d v="2026-07-17T00:00:00"/>
    <d v="2026-08-16T00:00:00"/>
    <n v="523199.99"/>
    <s v="Mahbub Alam"/>
    <m/>
    <n v="523199.99"/>
    <n v="15"/>
    <x v="4"/>
  </r>
  <r>
    <s v="invoices_2026-07.csv"/>
    <s v="INV-202607-0201"/>
    <s v="C048"/>
    <d v="2026-07-22T00:00:00"/>
    <d v="2026-08-21T00:00:00"/>
    <n v="112528.53"/>
    <s v="Imran Hossain"/>
    <n v="112528.53"/>
    <n v="0"/>
    <n v="10"/>
    <x v="0"/>
  </r>
  <r>
    <s v="invoices_2026-07.csv"/>
    <s v="INV-202607-0145"/>
    <s v="C046"/>
    <d v="2026-07-17T00:00:00"/>
    <d v="2026-08-16T00:00:00"/>
    <n v="19043.68"/>
    <s v="Mahbub Alam"/>
    <m/>
    <n v="19043.68"/>
    <n v="15"/>
    <x v="4"/>
  </r>
  <r>
    <s v="invoices_2026-07.csv"/>
    <s v="INV-202607-0248"/>
    <s v="C040"/>
    <d v="2026-07-26T00:00:00"/>
    <d v="2026-09-24T00:00:00"/>
    <n v="12545.91"/>
    <s v="Nusrat Jahan"/>
    <n v="12545.91"/>
    <n v="0"/>
    <n v="-24"/>
    <x v="0"/>
  </r>
  <r>
    <s v="invoices_2026-07.csv"/>
    <s v="INV-202607-0275"/>
    <s v="C012"/>
    <d v="2026-07-29T00:00:00"/>
    <d v="2026-08-28T00:00:00"/>
    <n v="192689.15"/>
    <s v="Shirin Sultana"/>
    <n v="192689.15"/>
    <n v="0"/>
    <n v="3"/>
    <x v="0"/>
  </r>
  <r>
    <s v="invoices_2026-07.csv"/>
    <s v="INV-202607-0149"/>
    <s v="C045"/>
    <d v="2026-07-17T00:00:00"/>
    <d v="2026-08-01T00:00:00"/>
    <n v="9108.33"/>
    <s v="Mahbub Alam"/>
    <m/>
    <n v="9108.33"/>
    <n v="30"/>
    <x v="4"/>
  </r>
  <r>
    <s v="invoices_2026-07.csv"/>
    <s v="INV-202607-0154"/>
    <s v="C011"/>
    <d v="2026-07-17T00:00:00"/>
    <d v="2026-09-15T00:00:00"/>
    <n v="98733.74"/>
    <s v="Imran Hossain"/>
    <m/>
    <n v="98733.74"/>
    <n v="-15"/>
    <x v="5"/>
  </r>
  <r>
    <s v="invoices_2026-07.csv"/>
    <s v="INV-202607-0156"/>
    <s v="C019"/>
    <d v="2026-07-18T00:00:00"/>
    <d v="2026-09-16T00:00:00"/>
    <n v="1050722.8700000001"/>
    <s v="Tanvir Ahmed"/>
    <m/>
    <n v="1050722.8700000001"/>
    <n v="-16"/>
    <x v="5"/>
  </r>
  <r>
    <s v="invoices_2026-07.csv"/>
    <s v="INV-202607-0157"/>
    <s v="C005"/>
    <d v="2026-07-18T00:00:00"/>
    <d v="2026-08-17T00:00:00"/>
    <n v="363103.53"/>
    <s v="Mahbub Alam"/>
    <m/>
    <n v="363103.53"/>
    <n v="14"/>
    <x v="4"/>
  </r>
  <r>
    <s v="invoices_2026-07.csv"/>
    <s v="INV-202607-0158"/>
    <s v="C025"/>
    <d v="2026-07-18T00:00:00"/>
    <d v="2026-09-01T00:00:00"/>
    <n v="305662.87"/>
    <s v="Imran Hossain"/>
    <n v="305662.87"/>
    <n v="0"/>
    <n v="-1"/>
    <x v="0"/>
  </r>
  <r>
    <s v="invoices_2026-07.csv"/>
    <s v="INV-202607-0160"/>
    <s v="C004"/>
    <d v="2026-07-18T00:00:00"/>
    <d v="2026-09-01T00:00:00"/>
    <n v="146499.17000000001"/>
    <s v="Nusrat Jahan"/>
    <n v="146499.17000000001"/>
    <n v="0"/>
    <n v="-1"/>
    <x v="0"/>
  </r>
  <r>
    <s v="invoices_2026-07.csv"/>
    <s v="INV-202607-0161"/>
    <s v="C013"/>
    <d v="2026-07-18T00:00:00"/>
    <d v="2026-09-16T00:00:00"/>
    <n v="1278988.6599999999"/>
    <s v="Nusrat Jahan"/>
    <m/>
    <n v="1278988.6599999999"/>
    <n v="-16"/>
    <x v="5"/>
  </r>
  <r>
    <s v="invoices_2026-07.csv"/>
    <s v="INV-202607-0162"/>
    <s v="C009"/>
    <d v="2026-07-18T00:00:00"/>
    <d v="2026-09-01T00:00:00"/>
    <n v="170578.44"/>
    <s v="Farzana Akter"/>
    <n v="71881.53"/>
    <n v="98696.91"/>
    <n v="-1"/>
    <x v="5"/>
  </r>
  <r>
    <s v="invoices_2026-07.csv"/>
    <s v="INV-202607-0163"/>
    <s v="C046"/>
    <d v="2026-07-18T00:00:00"/>
    <d v="2026-08-17T00:00:00"/>
    <n v="183234.16"/>
    <s v="Mahbub Alam"/>
    <m/>
    <n v="183234.16"/>
    <n v="14"/>
    <x v="4"/>
  </r>
  <r>
    <s v="invoices_2026-07.csv"/>
    <s v="INV-202607-0165"/>
    <s v="C041"/>
    <d v="2026-07-18T00:00:00"/>
    <d v="2026-08-17T00:00:00"/>
    <n v="5035.6000000000004"/>
    <s v="Tanvir Ahmed"/>
    <m/>
    <n v="5035.6000000000004"/>
    <n v="14"/>
    <x v="4"/>
  </r>
  <r>
    <s v="invoices_2026-07.csv"/>
    <s v="INV-202607-0167"/>
    <s v="C008"/>
    <d v="2026-07-18T00:00:00"/>
    <d v="2026-09-01T00:00:00"/>
    <n v="176183.66"/>
    <s v="Shirin Sultana"/>
    <n v="176183.66"/>
    <n v="0"/>
    <n v="-1"/>
    <x v="0"/>
  </r>
  <r>
    <s v="invoices_2026-07.csv"/>
    <s v="INV-202607-0175"/>
    <s v="C013"/>
    <d v="2026-07-19T00:00:00"/>
    <d v="2026-09-17T00:00:00"/>
    <n v="1103445.54"/>
    <s v="Nusrat Jahan"/>
    <m/>
    <n v="1103445.54"/>
    <n v="-17"/>
    <x v="5"/>
  </r>
  <r>
    <s v="invoices_2026-07.csv"/>
    <s v="INV-202607-0177"/>
    <s v="C020"/>
    <d v="2026-07-19T00:00:00"/>
    <d v="2026-09-17T00:00:00"/>
    <n v="144620.24"/>
    <s v="Nusrat Jahan"/>
    <m/>
    <n v="144620.24"/>
    <n v="-17"/>
    <x v="5"/>
  </r>
  <r>
    <s v="invoices_2026-07.csv"/>
    <s v="INV-202607-0179"/>
    <s v="C009"/>
    <d v="2026-07-19T00:00:00"/>
    <d v="2026-09-02T00:00:00"/>
    <n v="643134.42000000004"/>
    <s v="Farzana Akter"/>
    <n v="643134.42000000004"/>
    <n v="0"/>
    <n v="-2"/>
    <x v="0"/>
  </r>
  <r>
    <s v="invoices_2026-07.csv"/>
    <s v="INV-202607-0180"/>
    <s v="C013"/>
    <d v="2026-07-20T00:00:00"/>
    <d v="2026-09-18T00:00:00"/>
    <n v="334872.09000000003"/>
    <s v="Nusrat Jahan"/>
    <m/>
    <n v="334872.09000000003"/>
    <n v="-18"/>
    <x v="5"/>
  </r>
  <r>
    <s v="invoices_2026-07.csv"/>
    <s v="INV-202607-0183"/>
    <s v="C020"/>
    <d v="2026-07-20T00:00:00"/>
    <d v="2026-09-18T00:00:00"/>
    <n v="441724.81"/>
    <s v="Nusrat Jahan"/>
    <m/>
    <n v="441724.81"/>
    <n v="-18"/>
    <x v="5"/>
  </r>
  <r>
    <s v="invoices_2026-07.csv"/>
    <s v="INV-202607-0187"/>
    <s v="C007"/>
    <d v="2026-07-21T00:00:00"/>
    <d v="2026-08-20T00:00:00"/>
    <n v="1775781.75"/>
    <s v="Mahbub Alam"/>
    <m/>
    <n v="1775781.75"/>
    <n v="11"/>
    <x v="4"/>
  </r>
  <r>
    <s v="invoices_2026-07.csv"/>
    <s v="INV-202607-0188"/>
    <s v="C035"/>
    <d v="2026-07-21T00:00:00"/>
    <d v="2026-09-04T00:00:00"/>
    <n v="636230.5"/>
    <s v="Farzana Akter"/>
    <m/>
    <n v="636230.5"/>
    <n v="-4"/>
    <x v="5"/>
  </r>
  <r>
    <s v="invoices_2026-07.csv"/>
    <s v="INV-202607-0189"/>
    <s v="C005"/>
    <d v="2026-07-21T00:00:00"/>
    <d v="2026-08-20T00:00:00"/>
    <n v="2000000"/>
    <s v="Mahbub Alam"/>
    <m/>
    <n v="2000000"/>
    <n v="11"/>
    <x v="4"/>
  </r>
  <r>
    <s v="invoices_2026-07.csv"/>
    <s v="INV-202607-0193"/>
    <s v="C019"/>
    <d v="2026-07-22T00:00:00"/>
    <d v="2026-09-20T00:00:00"/>
    <n v="204182.62"/>
    <s v="Tanvir Ahmed"/>
    <m/>
    <n v="204182.62"/>
    <n v="-20"/>
    <x v="5"/>
  </r>
  <r>
    <s v="invoices_2026-07.csv"/>
    <s v="INV-202607-0194"/>
    <s v="C032"/>
    <d v="2026-07-22T00:00:00"/>
    <d v="2026-09-05T00:00:00"/>
    <n v="2000000"/>
    <s v="Shirin Sultana"/>
    <m/>
    <n v="2000000"/>
    <n v="-5"/>
    <x v="5"/>
  </r>
  <r>
    <s v="invoices_2026-07.csv"/>
    <s v="INV-202607-0196"/>
    <s v="C014"/>
    <d v="2026-07-22T00:00:00"/>
    <d v="2026-09-20T00:00:00"/>
    <n v="330734.19"/>
    <s v="Nusrat Jahan"/>
    <n v="330734.19"/>
    <n v="0"/>
    <n v="-20"/>
    <x v="0"/>
  </r>
  <r>
    <s v="invoices_2026-07.csv"/>
    <s v="INV-202607-0200"/>
    <s v="C032"/>
    <d v="2026-07-22T00:00:00"/>
    <d v="2026-09-05T00:00:00"/>
    <n v="1447426.05"/>
    <s v="Shirin Sultana"/>
    <m/>
    <n v="1447426.05"/>
    <n v="-5"/>
    <x v="5"/>
  </r>
  <r>
    <s v="invoices_2026-07.csv"/>
    <s v="INV-202607-0202"/>
    <s v="C013"/>
    <d v="2026-07-22T00:00:00"/>
    <d v="2026-09-20T00:00:00"/>
    <n v="671676.31"/>
    <s v="Nusrat Jahan"/>
    <n v="671676.31"/>
    <n v="0"/>
    <n v="-20"/>
    <x v="0"/>
  </r>
  <r>
    <s v="invoices_2026-07.csv"/>
    <s v="INV-202607-0203"/>
    <s v="C009"/>
    <d v="2026-07-22T00:00:00"/>
    <d v="2026-09-05T00:00:00"/>
    <n v="461416.71"/>
    <s v="Farzana Akter"/>
    <n v="461416.71"/>
    <n v="0"/>
    <n v="-5"/>
    <x v="0"/>
  </r>
  <r>
    <s v="invoices_2026-07.csv"/>
    <s v="INV-202607-0205"/>
    <s v="C008"/>
    <d v="2026-07-22T00:00:00"/>
    <d v="2026-09-05T00:00:00"/>
    <n v="352613.39"/>
    <s v="Shirin Sultana"/>
    <m/>
    <n v="352613.39"/>
    <n v="-5"/>
    <x v="5"/>
  </r>
  <r>
    <s v="invoices_2026-07.csv"/>
    <s v="INV-202607-0206"/>
    <s v="C035"/>
    <d v="2026-07-22T00:00:00"/>
    <d v="2026-09-05T00:00:00"/>
    <n v="698487.39"/>
    <s v="Farzana Akter"/>
    <n v="698487.39"/>
    <n v="0"/>
    <n v="-5"/>
    <x v="0"/>
  </r>
  <r>
    <s v="invoices_2026-07.csv"/>
    <s v="INV-202607-0210"/>
    <s v="C030"/>
    <d v="2026-07-23T00:00:00"/>
    <d v="2026-08-22T00:00:00"/>
    <n v="17131.41"/>
    <s v="Tanvir Ahmed"/>
    <m/>
    <n v="17131.41"/>
    <n v="9"/>
    <x v="4"/>
  </r>
  <r>
    <s v="invoices_2026-07.csv"/>
    <s v="INV-202607-0211"/>
    <s v="C009"/>
    <d v="2026-07-23T00:00:00"/>
    <d v="2026-09-06T00:00:00"/>
    <n v="469278.71999999997"/>
    <s v="Farzana Akter"/>
    <n v="469278.71999999997"/>
    <n v="0"/>
    <n v="-6"/>
    <x v="0"/>
  </r>
  <r>
    <s v="invoices_2026-07.csv"/>
    <s v="INV-202607-0213"/>
    <s v="C045"/>
    <d v="2026-07-23T00:00:00"/>
    <d v="2026-08-07T00:00:00"/>
    <n v="42945.19"/>
    <s v="Mahbub Alam"/>
    <m/>
    <n v="42945.19"/>
    <n v="24"/>
    <x v="4"/>
  </r>
  <r>
    <s v="invoices_2026-07.csv"/>
    <s v="INV-202607-0214"/>
    <s v="C040"/>
    <d v="2026-07-23T00:00:00"/>
    <d v="2026-09-21T00:00:00"/>
    <n v="225295.96"/>
    <s v="Nusrat Jahan"/>
    <m/>
    <n v="225295.96"/>
    <n v="-21"/>
    <x v="5"/>
  </r>
  <r>
    <s v="invoices_2026-07.csv"/>
    <s v="INV-202607-0215"/>
    <s v="C013"/>
    <d v="2026-07-24T00:00:00"/>
    <d v="2026-09-22T00:00:00"/>
    <n v="209393.73"/>
    <s v="Nusrat Jahan"/>
    <m/>
    <n v="209393.73"/>
    <n v="-22"/>
    <x v="5"/>
  </r>
  <r>
    <s v="invoices_2026-07.csv"/>
    <s v="INV-202607-0216"/>
    <s v="C012"/>
    <d v="2026-07-24T00:00:00"/>
    <d v="2026-08-23T00:00:00"/>
    <n v="563416.75"/>
    <s v="Shirin Sultana"/>
    <n v="350001.05"/>
    <n v="213415.7"/>
    <n v="8"/>
    <x v="4"/>
  </r>
  <r>
    <s v="invoices_2026-07.csv"/>
    <s v="INV-202607-0221"/>
    <s v="C010"/>
    <d v="2026-07-24T00:00:00"/>
    <d v="2026-08-08T00:00:00"/>
    <n v="16516.18"/>
    <s v="Imran Hossain"/>
    <m/>
    <n v="16516.18"/>
    <n v="23"/>
    <x v="4"/>
  </r>
  <r>
    <s v="invoices_2026-07.csv"/>
    <s v="INV-202607-0223"/>
    <s v="C014"/>
    <d v="2026-07-24T00:00:00"/>
    <d v="2026-09-22T00:00:00"/>
    <n v="26872.18"/>
    <s v="Nusrat Jahan"/>
    <m/>
    <n v="26872.18"/>
    <n v="-22"/>
    <x v="5"/>
  </r>
  <r>
    <s v="invoices_2026-07.csv"/>
    <s v="INV-202607-0224"/>
    <s v="C007"/>
    <d v="2026-07-24T00:00:00"/>
    <d v="2026-08-23T00:00:00"/>
    <n v="1098682.2"/>
    <s v="Mahbub Alam"/>
    <m/>
    <n v="1098682.2"/>
    <n v="8"/>
    <x v="4"/>
  </r>
  <r>
    <s v="invoices_2026-07.csv"/>
    <s v="INV-202607-0225"/>
    <s v="C025"/>
    <d v="2026-07-24T00:00:00"/>
    <d v="2026-09-07T00:00:00"/>
    <n v="588291.26"/>
    <s v="Imran Hossain"/>
    <m/>
    <n v="588291.26"/>
    <n v="-7"/>
    <x v="5"/>
  </r>
  <r>
    <s v="invoices_2026-07.csv"/>
    <s v="INV-202607-0226"/>
    <s v="C020"/>
    <d v="2026-07-25T00:00:00"/>
    <d v="2026-09-23T00:00:00"/>
    <n v="98559.44"/>
    <s v="Nusrat Jahan"/>
    <m/>
    <n v="98559.44"/>
    <n v="-23"/>
    <x v="5"/>
  </r>
  <r>
    <s v="invoices_2026-07.csv"/>
    <s v="INV-202607-0227"/>
    <s v="C023"/>
    <d v="2026-07-25T00:00:00"/>
    <d v="2026-08-24T00:00:00"/>
    <n v="184724.32"/>
    <s v="Nusrat Jahan"/>
    <m/>
    <n v="184724.32"/>
    <n v="7"/>
    <x v="4"/>
  </r>
  <r>
    <s v="invoices_2026-07.csv"/>
    <s v="INV-202607-0231"/>
    <s v="C013"/>
    <d v="2026-07-25T00:00:00"/>
    <d v="2026-09-23T00:00:00"/>
    <n v="200854.33"/>
    <s v="Nusrat Jahan"/>
    <m/>
    <n v="200854.33"/>
    <n v="-23"/>
    <x v="5"/>
  </r>
  <r>
    <s v="invoices_2026-07.csv"/>
    <s v="INV-202607-0241"/>
    <s v="C048"/>
    <d v="2026-07-26T00:00:00"/>
    <d v="2026-08-25T00:00:00"/>
    <n v="50875.77"/>
    <s v="Imran Hossain"/>
    <m/>
    <n v="50875.77"/>
    <n v="6"/>
    <x v="4"/>
  </r>
  <r>
    <s v="invoices_2026-07.csv"/>
    <s v="INV-202607-0246"/>
    <s v="C035"/>
    <d v="2026-07-26T00:00:00"/>
    <d v="2026-09-09T00:00:00"/>
    <n v="152877.22"/>
    <s v="Farzana Akter"/>
    <m/>
    <n v="152877.22"/>
    <n v="-9"/>
    <x v="5"/>
  </r>
  <r>
    <s v="invoices_2026-07.csv"/>
    <s v="INV-202607-0249"/>
    <s v="C013"/>
    <d v="2026-07-27T00:00:00"/>
    <d v="2026-09-25T00:00:00"/>
    <n v="810894.12"/>
    <s v="Nusrat Jahan"/>
    <m/>
    <n v="810894.12"/>
    <n v="-25"/>
    <x v="5"/>
  </r>
  <r>
    <s v="invoices_2026-07.csv"/>
    <s v="INV-202607-0253"/>
    <s v="C013"/>
    <d v="2026-07-27T00:00:00"/>
    <d v="2026-09-25T00:00:00"/>
    <n v="192818"/>
    <s v="Nusrat Jahan"/>
    <m/>
    <n v="192818"/>
    <n v="-25"/>
    <x v="5"/>
  </r>
  <r>
    <s v="invoices_2026-07.csv"/>
    <s v="INV-202607-0254"/>
    <s v="C020"/>
    <d v="2026-07-27T00:00:00"/>
    <d v="2026-09-25T00:00:00"/>
    <n v="73374.52"/>
    <s v="Nusrat Jahan"/>
    <m/>
    <n v="73374.52"/>
    <n v="-25"/>
    <x v="5"/>
  </r>
  <r>
    <s v="invoices_2026-07.csv"/>
    <s v="INV-202607-0255"/>
    <s v="C047"/>
    <d v="2026-07-27T00:00:00"/>
    <d v="2026-08-26T00:00:00"/>
    <n v="123688.7"/>
    <s v="Nusrat Jahan"/>
    <m/>
    <n v="123688.7"/>
    <n v="5"/>
    <x v="4"/>
  </r>
  <r>
    <s v="invoices_2026-07.csv"/>
    <s v="INV-202607-0262"/>
    <s v="C042"/>
    <d v="2026-07-28T00:00:00"/>
    <d v="2026-08-27T00:00:00"/>
    <n v="53725.14"/>
    <s v="Nusrat Jahan"/>
    <m/>
    <n v="53725.14"/>
    <n v="4"/>
    <x v="4"/>
  </r>
  <r>
    <s v="invoices_2026-07.csv"/>
    <s v="INV-202607-0272"/>
    <s v="C008"/>
    <d v="2026-07-29T00:00:00"/>
    <d v="2026-09-12T00:00:00"/>
    <n v="380097.52"/>
    <s v="Shirin Sultana"/>
    <m/>
    <n v="380097.52"/>
    <n v="-12"/>
    <x v="5"/>
  </r>
  <r>
    <s v="invoices_2026-07.csv"/>
    <s v="INV-202607-0273"/>
    <s v="C040"/>
    <d v="2026-07-29T00:00:00"/>
    <d v="2026-09-27T00:00:00"/>
    <n v="179158.91"/>
    <s v="Nusrat Jahan"/>
    <m/>
    <n v="179158.91"/>
    <n v="-27"/>
    <x v="5"/>
  </r>
  <r>
    <s v="invoices_2026-07.csv"/>
    <s v="INV-202607-0274"/>
    <s v="C005"/>
    <d v="2026-07-29T00:00:00"/>
    <d v="2026-08-28T00:00:00"/>
    <n v="1021194.25"/>
    <s v="Mahbub Alam"/>
    <m/>
    <n v="1021194.25"/>
    <n v="3"/>
    <x v="4"/>
  </r>
  <r>
    <s v="invoices_2026-07.csv"/>
    <s v="INV-202607-0278"/>
    <s v="C037"/>
    <d v="2026-07-29T00:00:00"/>
    <d v="2026-08-13T00:00:00"/>
    <n v="36282.449999999997"/>
    <s v="Tanvir Ahmed"/>
    <n v="36282.449999999997"/>
    <n v="0"/>
    <n v="18"/>
    <x v="0"/>
  </r>
  <r>
    <s v="invoices_2026-07.csv"/>
    <s v="INV-202607-0279"/>
    <s v="C002"/>
    <d v="2026-07-29T00:00:00"/>
    <d v="2026-09-12T00:00:00"/>
    <n v="145899.78"/>
    <s v="Tanvir Ahmed"/>
    <n v="145899.78"/>
    <n v="0"/>
    <n v="-12"/>
    <x v="0"/>
  </r>
  <r>
    <s v="invoices_2026-07.csv"/>
    <s v="INV-202607-0280"/>
    <s v="C008"/>
    <d v="2026-07-29T00:00:00"/>
    <d v="2026-09-12T00:00:00"/>
    <n v="480016.84"/>
    <s v="Shirin Sultana"/>
    <n v="480016.84"/>
    <n v="0"/>
    <n v="-12"/>
    <x v="0"/>
  </r>
  <r>
    <s v="invoices_2026-07.csv"/>
    <s v="INV-202607-0281"/>
    <s v="C006"/>
    <d v="2026-07-30T00:00:00"/>
    <d v="2026-09-13T00:00:00"/>
    <n v="136237.28"/>
    <s v="Nusrat Jahan"/>
    <n v="136237.28"/>
    <n v="0"/>
    <n v="-13"/>
    <x v="0"/>
  </r>
  <r>
    <s v="invoices_2026-07.csv"/>
    <s v="INV-202607-0282"/>
    <s v="C038"/>
    <d v="2026-07-30T00:00:00"/>
    <d v="2026-09-28T00:00:00"/>
    <n v="133174.57999999999"/>
    <s v="Imran Hossain"/>
    <n v="133174.57999999999"/>
    <n v="0"/>
    <n v="-28"/>
    <x v="0"/>
  </r>
  <r>
    <s v="invoices_2026-07.csv"/>
    <s v="INV-202607-0283"/>
    <s v="C007"/>
    <d v="2026-07-30T00:00:00"/>
    <d v="2026-08-29T00:00:00"/>
    <n v="680319.98"/>
    <s v="Mahbub Alam"/>
    <n v="680319.98"/>
    <n v="0"/>
    <n v="2"/>
    <x v="0"/>
  </r>
  <r>
    <s v="invoices_2026-07.csv"/>
    <s v="INV-202607-0284"/>
    <s v="C011"/>
    <d v="2026-07-30T00:00:00"/>
    <d v="2026-09-28T00:00:00"/>
    <n v="83652.03"/>
    <s v="Imran Hossain"/>
    <n v="83652.03"/>
    <n v="0"/>
    <n v="-28"/>
    <x v="0"/>
  </r>
  <r>
    <s v="invoices_2026-07.csv"/>
    <s v="INV-202607-0285"/>
    <s v="C002"/>
    <d v="2026-07-30T00:00:00"/>
    <d v="2026-09-13T00:00:00"/>
    <n v="56902.559999999998"/>
    <s v="Tanvir Ahmed"/>
    <n v="56902.559999999998"/>
    <n v="0"/>
    <n v="-13"/>
    <x v="0"/>
  </r>
  <r>
    <s v="invoices_2026-07.csv"/>
    <s v="INV-202607-0286"/>
    <s v="C050"/>
    <d v="2026-07-30T00:00:00"/>
    <d v="2026-08-14T00:00:00"/>
    <n v="618897.98"/>
    <s v="Nusrat Jahan"/>
    <n v="618897.98"/>
    <n v="0"/>
    <n v="17"/>
    <x v="0"/>
  </r>
  <r>
    <s v="invoices_2026-07.csv"/>
    <s v="INV-202607-0287"/>
    <s v="C022"/>
    <d v="2026-07-30T00:00:00"/>
    <d v="2026-08-14T00:00:00"/>
    <n v="17730.45"/>
    <s v="Mahbub Alam"/>
    <m/>
    <n v="17730.45"/>
    <n v="17"/>
    <x v="4"/>
  </r>
  <r>
    <s v="invoices_2026-07.csv"/>
    <s v="INV-202607-0288"/>
    <s v="C015"/>
    <d v="2026-07-30T00:00:00"/>
    <d v="2026-08-29T00:00:00"/>
    <n v="38493.29"/>
    <s v="Nusrat Jahan"/>
    <m/>
    <n v="38493.29"/>
    <n v="2"/>
    <x v="4"/>
  </r>
  <r>
    <s v="invoices_2026-07.csv"/>
    <s v="INV-202607-0289"/>
    <s v="C013"/>
    <d v="2026-07-30T00:00:00"/>
    <d v="2026-09-28T00:00:00"/>
    <n v="91770.79"/>
    <s v="Nusrat Jahan"/>
    <n v="91770.79"/>
    <n v="0"/>
    <n v="-28"/>
    <x v="0"/>
  </r>
  <r>
    <s v="invoices_2026-07.csv"/>
    <s v="INV-202607-0290"/>
    <s v="C040"/>
    <d v="2026-07-31T00:00:00"/>
    <d v="2026-09-29T00:00:00"/>
    <n v="156379.76"/>
    <s v="Nusrat Jahan"/>
    <n v="156379.76"/>
    <n v="0"/>
    <n v="-29"/>
    <x v="0"/>
  </r>
  <r>
    <s v="invoices_2026-07.csv"/>
    <s v="INV-202607-0291"/>
    <s v="C004"/>
    <d v="2026-07-31T00:00:00"/>
    <d v="2026-09-14T00:00:00"/>
    <n v="156586.25"/>
    <s v="Nusrat Jahan"/>
    <m/>
    <n v="156586.25"/>
    <n v="-14"/>
    <x v="5"/>
  </r>
  <r>
    <s v="invoices_2026-07.csv"/>
    <s v="INV-202607-0292"/>
    <s v="C005"/>
    <d v="2026-07-31T00:00:00"/>
    <d v="2026-08-30T00:00:00"/>
    <n v="91954.43"/>
    <s v="Mahbub Alam"/>
    <m/>
    <n v="91954.43"/>
    <n v="1"/>
    <x v="4"/>
  </r>
  <r>
    <s v="invoices_2026-07.csv"/>
    <s v="INV-202607-0293"/>
    <s v="C046"/>
    <d v="2026-07-31T00:00:00"/>
    <d v="2026-08-30T00:00:00"/>
    <n v="377833.59"/>
    <s v="Mahbub Alam"/>
    <m/>
    <n v="377833.59"/>
    <n v="1"/>
    <x v="4"/>
  </r>
  <r>
    <s v="invoices_2026-07.csv"/>
    <s v="INV-202607-0294"/>
    <s v="C008"/>
    <d v="2026-07-31T00:00:00"/>
    <d v="2026-09-14T00:00:00"/>
    <n v="595011.27"/>
    <s v="Shirin Sultana"/>
    <m/>
    <n v="595011.27"/>
    <n v="-14"/>
    <x v="5"/>
  </r>
  <r>
    <s v="invoices_2026-07.csv"/>
    <s v="INV-202607-0295"/>
    <s v="C039"/>
    <d v="2026-07-31T00:00:00"/>
    <d v="2026-08-15T00:00:00"/>
    <n v="60059.58"/>
    <s v="Mahbub Alam"/>
    <n v="60059.58"/>
    <n v="0"/>
    <n v="16"/>
    <x v="0"/>
  </r>
  <r>
    <s v="invoices_2026-07.csv"/>
    <s v="INV-202607-0296"/>
    <s v="C009"/>
    <d v="2026-07-31T00:00:00"/>
    <d v="2026-09-14T00:00:00"/>
    <n v="70635.06"/>
    <s v="Farzana Akter"/>
    <m/>
    <n v="70635.06"/>
    <n v="-14"/>
    <x v="5"/>
  </r>
  <r>
    <s v="invoices_2026-07.csv"/>
    <s v="INV-202607-0297"/>
    <s v="C021"/>
    <d v="2026-07-31T00:00:00"/>
    <d v="2026-08-30T00:00:00"/>
    <n v="801666.62"/>
    <s v="Mahbub Alam"/>
    <m/>
    <n v="801666.62"/>
    <n v="1"/>
    <x v="4"/>
  </r>
  <r>
    <s v="invoices_2026-07.csv"/>
    <s v="INV-202607-0298"/>
    <s v="C026"/>
    <d v="2026-07-31T00:00:00"/>
    <d v="2026-08-30T00:00:00"/>
    <n v="122472.19"/>
    <s v="Nusrat Jahan"/>
    <n v="122472.19"/>
    <n v="0"/>
    <n v="1"/>
    <x v="0"/>
  </r>
  <r>
    <s v="invoices_2026-07.csv"/>
    <s v="INV-202607-0299"/>
    <s v="C012"/>
    <d v="2026-07-31T00:00:00"/>
    <d v="2026-08-30T00:00:00"/>
    <n v="598110.31000000006"/>
    <s v="Shirin Sultana"/>
    <m/>
    <n v="598110.31000000006"/>
    <n v="1"/>
    <x v="4"/>
  </r>
  <r>
    <s v="invoices_2026-07.csv"/>
    <s v="INV-202607-0300"/>
    <s v="C004"/>
    <d v="2026-07-31T00:00:00"/>
    <d v="2026-09-14T00:00:00"/>
    <n v="1002886.81"/>
    <s v="Nusrat Jahan"/>
    <m/>
    <n v="1002886.81"/>
    <n v="-14"/>
    <x v="5"/>
  </r>
  <r>
    <s v="invoices_2026-07.csv"/>
    <s v="INV-202607-0159"/>
    <s v="C045"/>
    <d v="2026-07-18T00:00:00"/>
    <d v="2026-08-02T00:00:00"/>
    <n v="60510.86"/>
    <s v="Mahbub Alam"/>
    <n v="60510.86"/>
    <n v="0"/>
    <n v="29"/>
    <x v="0"/>
  </r>
  <r>
    <s v="invoices_2026-08.csv"/>
    <s v="INV-202608-0001"/>
    <s v="C005"/>
    <d v="2026-08-01T00:00:00"/>
    <d v="2026-08-31T00:00:00"/>
    <n v="196731.7"/>
    <s v="Mahbub Alam"/>
    <n v="196731.7"/>
    <n v="0"/>
    <n v="0"/>
    <x v="0"/>
  </r>
  <r>
    <s v="invoices_2026-08.csv"/>
    <s v="INV-202608-0002"/>
    <s v="C049"/>
    <d v="2026-08-01T00:00:00"/>
    <d v="2026-08-16T00:00:00"/>
    <n v="5000"/>
    <s v="Farzana Akter"/>
    <n v="5000"/>
    <n v="0"/>
    <n v="15"/>
    <x v="0"/>
  </r>
  <r>
    <s v="invoices_2026-08.csv"/>
    <s v="INV-202608-0003"/>
    <s v="C046"/>
    <d v="2026-08-01T00:00:00"/>
    <d v="2026-08-31T00:00:00"/>
    <n v="326361.84999999998"/>
    <s v="Mahbub Alam"/>
    <n v="326361.84999999998"/>
    <n v="0"/>
    <n v="0"/>
    <x v="0"/>
  </r>
  <r>
    <s v="invoices_2026-08.csv"/>
    <s v="INV-202608-0004"/>
    <s v="C013"/>
    <d v="2026-08-01T00:00:00"/>
    <d v="2026-09-30T00:00:00"/>
    <n v="199742.78"/>
    <s v="Nusrat Jahan"/>
    <n v="199742.78"/>
    <n v="0"/>
    <n v="-30"/>
    <x v="0"/>
  </r>
  <r>
    <s v="invoices_2026-08.csv"/>
    <s v="INV-202608-0005"/>
    <s v="C008"/>
    <d v="2026-08-01T00:00:00"/>
    <d v="2026-09-15T00:00:00"/>
    <n v="1210920.8500000001"/>
    <s v="Shirin Sultana"/>
    <n v="353055.02"/>
    <n v="857865.83"/>
    <n v="-15"/>
    <x v="5"/>
  </r>
  <r>
    <s v="invoices_2026-08.csv"/>
    <s v="INV-202608-0006"/>
    <s v="C045"/>
    <d v="2026-08-01T00:00:00"/>
    <d v="2026-08-16T00:00:00"/>
    <n v="22222.19"/>
    <s v="Mahbub Alam"/>
    <n v="11794.5"/>
    <n v="10427.69"/>
    <n v="15"/>
    <x v="4"/>
  </r>
  <r>
    <s v="invoices_2026-08.csv"/>
    <s v="INV-202608-0007"/>
    <s v="C024"/>
    <d v="2026-08-01T00:00:00"/>
    <d v="2026-08-31T00:00:00"/>
    <n v="33413.050000000003"/>
    <s v="Farzana Akter"/>
    <n v="33413.050000000003"/>
    <n v="0"/>
    <n v="0"/>
    <x v="0"/>
  </r>
  <r>
    <s v="invoices_2026-08.csv"/>
    <s v="INV-202608-0008"/>
    <s v="C014"/>
    <d v="2026-08-01T00:00:00"/>
    <d v="2026-09-30T00:00:00"/>
    <n v="862417.21"/>
    <s v="Nusrat Jahan"/>
    <m/>
    <n v="862417.21"/>
    <n v="-30"/>
    <x v="5"/>
  </r>
  <r>
    <s v="invoices_2026-08.csv"/>
    <s v="INV-202608-0009"/>
    <s v="C005"/>
    <d v="2026-08-01T00:00:00"/>
    <d v="2026-08-31T00:00:00"/>
    <n v="107573.15"/>
    <s v="Mahbub Alam"/>
    <n v="107573.15"/>
    <n v="0"/>
    <n v="0"/>
    <x v="0"/>
  </r>
  <r>
    <s v="invoices_2026-08.csv"/>
    <s v="INV-202608-0010"/>
    <s v="C045"/>
    <d v="2026-08-01T00:00:00"/>
    <d v="2026-08-16T00:00:00"/>
    <n v="113551.38"/>
    <s v="Mahbub Alam"/>
    <n v="113551.38"/>
    <n v="0"/>
    <n v="15"/>
    <x v="0"/>
  </r>
  <r>
    <s v="invoices_2026-08.csv"/>
    <s v="INV-202608-0011"/>
    <s v="C020"/>
    <d v="2026-08-01T00:00:00"/>
    <d v="2026-09-30T00:00:00"/>
    <n v="145290.51"/>
    <s v="Nusrat Jahan"/>
    <m/>
    <n v="145290.51"/>
    <n v="-30"/>
    <x v="5"/>
  </r>
  <r>
    <s v="invoices_2026-08.csv"/>
    <s v="INV-202608-0012"/>
    <s v="C048"/>
    <d v="2026-08-01T00:00:00"/>
    <d v="2026-08-31T00:00:00"/>
    <n v="51935.16"/>
    <s v="Imran Hossain"/>
    <m/>
    <n v="51935.16"/>
    <n v="0"/>
    <x v="5"/>
  </r>
  <r>
    <s v="invoices_2026-08.csv"/>
    <s v="INV-202608-0013"/>
    <s v="C046"/>
    <d v="2026-08-01T00:00:00"/>
    <d v="2026-08-31T00:00:00"/>
    <n v="149620.65"/>
    <s v="Mahbub Alam"/>
    <m/>
    <n v="149620.65"/>
    <n v="0"/>
    <x v="5"/>
  </r>
  <r>
    <s v="invoices_2026-08.csv"/>
    <s v="INV-202608-0014"/>
    <s v="C009"/>
    <d v="2026-08-02T00:00:00"/>
    <d v="2026-09-16T00:00:00"/>
    <n v="850334.92"/>
    <s v="Farzana Akter"/>
    <n v="850334.92"/>
    <n v="0"/>
    <n v="-16"/>
    <x v="0"/>
  </r>
  <r>
    <s v="invoices_2026-08.csv"/>
    <s v="INV-202608-0015"/>
    <s v="C011"/>
    <d v="2026-08-02T00:00:00"/>
    <d v="2026-10-01T00:00:00"/>
    <n v="72994.740000000005"/>
    <s v="Imran Hossain"/>
    <n v="72994.740000000005"/>
    <n v="0"/>
    <n v="-31"/>
    <x v="0"/>
  </r>
  <r>
    <s v="invoices_2026-08.csv"/>
    <s v="INV-202608-0016"/>
    <s v="C047"/>
    <d v="2026-08-02T00:00:00"/>
    <d v="2026-09-01T00:00:00"/>
    <n v="54970.48"/>
    <s v="Nusrat Jahan"/>
    <n v="54970.48"/>
    <n v="0"/>
    <n v="-1"/>
    <x v="0"/>
  </r>
  <r>
    <s v="invoices_2026-08.csv"/>
    <s v="INV-202608-0017"/>
    <s v="C032"/>
    <d v="2026-08-02T00:00:00"/>
    <d v="2026-09-16T00:00:00"/>
    <n v="207166.72"/>
    <s v="Shirin Sultana"/>
    <m/>
    <n v="207166.72"/>
    <n v="-16"/>
    <x v="5"/>
  </r>
  <r>
    <s v="invoices_2026-08.csv"/>
    <s v="INV-202608-0018"/>
    <s v="C007"/>
    <d v="2026-08-02T00:00:00"/>
    <d v="2026-09-01T00:00:00"/>
    <n v="417755.41"/>
    <s v="Mahbub Alam"/>
    <n v="417755.41"/>
    <n v="0"/>
    <n v="-1"/>
    <x v="0"/>
  </r>
  <r>
    <s v="invoices_2026-08.csv"/>
    <s v="INV-202608-0019"/>
    <s v="C020"/>
    <d v="2026-08-02T00:00:00"/>
    <d v="2026-10-01T00:00:00"/>
    <n v="113507.01"/>
    <s v="Nusrat Jahan"/>
    <m/>
    <n v="113507.01"/>
    <n v="-31"/>
    <x v="5"/>
  </r>
  <r>
    <s v="invoices_2026-08.csv"/>
    <s v="INV-202608-0020"/>
    <s v="C029"/>
    <d v="2026-08-03T00:00:00"/>
    <d v="2026-09-02T00:00:00"/>
    <n v="274898.94"/>
    <s v="Farzana Akter"/>
    <n v="274898.94"/>
    <n v="0"/>
    <n v="-2"/>
    <x v="0"/>
  </r>
  <r>
    <s v="invoices_2026-08.csv"/>
    <s v="INV-202608-0021"/>
    <s v="C044"/>
    <d v="2026-08-03T00:00:00"/>
    <d v="2026-09-02T00:00:00"/>
    <n v="1312470.3"/>
    <s v="Mahbub Alam"/>
    <m/>
    <n v="1312470.3"/>
    <n v="-2"/>
    <x v="5"/>
  </r>
  <r>
    <s v="invoices_2026-08.csv"/>
    <s v="INV-202608-0022"/>
    <s v="C005"/>
    <d v="2026-08-03T00:00:00"/>
    <d v="2026-09-02T00:00:00"/>
    <n v="55400.91"/>
    <s v="Mahbub Alam"/>
    <m/>
    <n v="55400.91"/>
    <n v="-2"/>
    <x v="5"/>
  </r>
  <r>
    <s v="invoices_2026-08.csv"/>
    <s v="INV-202608-0023"/>
    <s v="C023"/>
    <d v="2026-08-03T00:00:00"/>
    <d v="2026-09-02T00:00:00"/>
    <n v="69713.3"/>
    <s v="Nusrat Jahan"/>
    <n v="69713.3"/>
    <n v="0"/>
    <n v="-2"/>
    <x v="0"/>
  </r>
  <r>
    <s v="invoices_2026-08.csv"/>
    <s v="INV-202608-0024"/>
    <s v="C040"/>
    <d v="2026-08-03T00:00:00"/>
    <d v="2026-10-02T00:00:00"/>
    <n v="35773.769999999997"/>
    <s v="Nusrat Jahan"/>
    <m/>
    <n v="35773.769999999997"/>
    <n v="-32"/>
    <x v="5"/>
  </r>
  <r>
    <s v="invoices_2026-08.csv"/>
    <s v="INV-202608-0025"/>
    <s v="C007"/>
    <d v="2026-08-03T00:00:00"/>
    <d v="2026-09-02T00:00:00"/>
    <n v="2000000"/>
    <s v="Mahbub Alam"/>
    <n v="2000000"/>
    <n v="0"/>
    <n v="-2"/>
    <x v="0"/>
  </r>
  <r>
    <s v="invoices_2026-08.csv"/>
    <s v="INV-202608-0026"/>
    <s v="C028"/>
    <d v="2026-08-03T00:00:00"/>
    <d v="2026-10-02T00:00:00"/>
    <n v="507556.12"/>
    <s v="Shirin Sultana"/>
    <n v="507556.12"/>
    <n v="0"/>
    <n v="-32"/>
    <x v="0"/>
  </r>
  <r>
    <s v="invoices_2026-08.csv"/>
    <s v="INV-202608-0027"/>
    <s v="C010"/>
    <d v="2026-08-03T00:00:00"/>
    <d v="2026-08-18T00:00:00"/>
    <n v="55210.89"/>
    <s v="Imran Hossain"/>
    <n v="55210.89"/>
    <n v="0"/>
    <n v="13"/>
    <x v="0"/>
  </r>
  <r>
    <s v="invoices_2026-08.csv"/>
    <s v="INV-202608-0028"/>
    <s v="C010"/>
    <d v="2026-08-03T00:00:00"/>
    <d v="2026-08-18T00:00:00"/>
    <n v="9797.7199999999993"/>
    <s v="Imran Hossain"/>
    <n v="9797.7199999999993"/>
    <n v="0"/>
    <n v="13"/>
    <x v="0"/>
  </r>
  <r>
    <s v="invoices_2026-08.csv"/>
    <s v="INV-202608-0029"/>
    <s v="C046"/>
    <d v="2026-08-03T00:00:00"/>
    <d v="2026-09-02T00:00:00"/>
    <n v="139844.48000000001"/>
    <s v="Mahbub Alam"/>
    <m/>
    <n v="139844.48000000001"/>
    <n v="-2"/>
    <x v="5"/>
  </r>
  <r>
    <s v="invoices_2026-08.csv"/>
    <s v="INV-202608-0030"/>
    <s v="C013"/>
    <d v="2026-08-04T00:00:00"/>
    <d v="2026-10-03T00:00:00"/>
    <n v="616437.43999999994"/>
    <s v="Nusrat Jahan"/>
    <m/>
    <n v="616437.43999999994"/>
    <n v="-33"/>
    <x v="5"/>
  </r>
  <r>
    <s v="invoices_2026-08.csv"/>
    <s v="INV-202608-0031"/>
    <s v="C009"/>
    <d v="2026-08-04T00:00:00"/>
    <d v="2026-09-18T00:00:00"/>
    <n v="298882.78000000003"/>
    <s v="Farzana Akter"/>
    <m/>
    <n v="298882.78000000003"/>
    <n v="-18"/>
    <x v="5"/>
  </r>
  <r>
    <s v="invoices_2026-08.csv"/>
    <s v="INV-202608-0032"/>
    <s v="C021"/>
    <d v="2026-08-04T00:00:00"/>
    <d v="2026-09-03T00:00:00"/>
    <n v="388993.55"/>
    <s v="Mahbub Alam"/>
    <n v="388993.55"/>
    <n v="0"/>
    <n v="-3"/>
    <x v="0"/>
  </r>
  <r>
    <s v="invoices_2026-08.csv"/>
    <s v="INV-202608-0033"/>
    <s v="C046"/>
    <d v="2026-08-04T00:00:00"/>
    <d v="2026-09-03T00:00:00"/>
    <n v="1258759.5"/>
    <s v="Mahbub Alam"/>
    <n v="1258759.5"/>
    <n v="0"/>
    <n v="-3"/>
    <x v="0"/>
  </r>
  <r>
    <s v="invoices_2026-08.csv"/>
    <s v="INV-202608-0034"/>
    <s v="C023"/>
    <d v="2026-08-04T00:00:00"/>
    <d v="2026-09-03T00:00:00"/>
    <n v="56936.28"/>
    <s v="Nusrat Jahan"/>
    <n v="32383.3"/>
    <n v="24552.98"/>
    <n v="-3"/>
    <x v="5"/>
  </r>
  <r>
    <s v="invoices_2026-08.csv"/>
    <s v="INV-202608-0035"/>
    <s v="C046"/>
    <d v="2026-08-04T00:00:00"/>
    <d v="2026-09-03T00:00:00"/>
    <n v="53019.49"/>
    <s v="Mahbub Alam"/>
    <n v="53019.49"/>
    <n v="0"/>
    <n v="-3"/>
    <x v="0"/>
  </r>
  <r>
    <s v="invoices_2026-08.csv"/>
    <s v="INV-202608-0036"/>
    <s v="C021"/>
    <d v="2026-08-04T00:00:00"/>
    <d v="2026-09-03T00:00:00"/>
    <n v="60811.21"/>
    <s v="Mahbub Alam"/>
    <n v="60811.21"/>
    <n v="0"/>
    <n v="-3"/>
    <x v="0"/>
  </r>
  <r>
    <s v="invoices_2026-08.csv"/>
    <s v="INV-202608-0037"/>
    <s v="C020"/>
    <d v="2026-08-04T00:00:00"/>
    <d v="2026-10-03T00:00:00"/>
    <n v="643892.4"/>
    <s v="Nusrat Jahan"/>
    <m/>
    <n v="643892.4"/>
    <n v="-33"/>
    <x v="5"/>
  </r>
  <r>
    <s v="invoices_2026-08.csv"/>
    <s v="INV-202608-0038"/>
    <s v="C039"/>
    <d v="2026-08-04T00:00:00"/>
    <d v="2026-08-19T00:00:00"/>
    <n v="94215.58"/>
    <s v="Mahbub Alam"/>
    <n v="94215.58"/>
    <n v="0"/>
    <n v="12"/>
    <x v="0"/>
  </r>
  <r>
    <s v="invoices_2026-08.csv"/>
    <s v="INV-202608-0039"/>
    <s v="C045"/>
    <d v="2026-08-04T00:00:00"/>
    <d v="2026-08-19T00:00:00"/>
    <n v="30771.74"/>
    <s v="Mahbub Alam"/>
    <n v="30771.74"/>
    <n v="0"/>
    <n v="12"/>
    <x v="0"/>
  </r>
  <r>
    <s v="invoices_2026-08.csv"/>
    <s v="INV-202608-0040"/>
    <s v="C031"/>
    <d v="2026-08-04T00:00:00"/>
    <d v="2026-09-03T00:00:00"/>
    <n v="36236.97"/>
    <s v="Tanvir Ahmed"/>
    <n v="36236.97"/>
    <n v="0"/>
    <n v="-3"/>
    <x v="0"/>
  </r>
  <r>
    <s v="invoices_2026-08.csv"/>
    <s v="INV-202608-0041"/>
    <s v="C020"/>
    <d v="2026-08-05T00:00:00"/>
    <d v="2026-10-04T00:00:00"/>
    <n v="64452.34"/>
    <s v="Nusrat Jahan"/>
    <m/>
    <n v="64452.34"/>
    <n v="-34"/>
    <x v="5"/>
  </r>
  <r>
    <s v="invoices_2026-08.csv"/>
    <s v="INV-202608-0042"/>
    <s v="C033"/>
    <d v="2026-08-05T00:00:00"/>
    <d v="2026-09-04T00:00:00"/>
    <n v="326088.31"/>
    <s v="Nusrat Jahan"/>
    <n v="326088.31"/>
    <n v="0"/>
    <n v="-4"/>
    <x v="0"/>
  </r>
  <r>
    <s v="invoices_2026-08.csv"/>
    <s v="INV-202608-0043"/>
    <s v="C030"/>
    <d v="2026-08-05T00:00:00"/>
    <d v="2026-09-04T00:00:00"/>
    <n v="24396.54"/>
    <s v="Tanvir Ahmed"/>
    <n v="24396.54"/>
    <n v="0"/>
    <n v="-4"/>
    <x v="0"/>
  </r>
  <r>
    <s v="invoices_2026-08.csv"/>
    <s v="INV-202608-0044"/>
    <s v="C033"/>
    <d v="2026-08-05T00:00:00"/>
    <d v="2026-09-04T00:00:00"/>
    <n v="109351.75"/>
    <s v="Nusrat Jahan"/>
    <n v="109351.75"/>
    <n v="0"/>
    <n v="-4"/>
    <x v="0"/>
  </r>
  <r>
    <s v="invoices_2026-08.csv"/>
    <s v="INV-202608-0045"/>
    <s v="C033"/>
    <d v="2026-08-05T00:00:00"/>
    <d v="2026-09-04T00:00:00"/>
    <n v="249633.22"/>
    <s v="Nusrat Jahan"/>
    <m/>
    <n v="249633.22"/>
    <n v="-4"/>
    <x v="5"/>
  </r>
  <r>
    <s v="invoices_2026-08.csv"/>
    <s v="INV-202608-0046"/>
    <s v="C020"/>
    <d v="2026-08-05T00:00:00"/>
    <d v="2026-10-04T00:00:00"/>
    <n v="117102.22"/>
    <s v="Nusrat Jahan"/>
    <m/>
    <n v="117102.22"/>
    <n v="-34"/>
    <x v="5"/>
  </r>
  <r>
    <s v="invoices_2026-08.csv"/>
    <s v="INV-202608-0047"/>
    <s v="C020"/>
    <d v="2026-08-05T00:00:00"/>
    <d v="2026-10-04T00:00:00"/>
    <n v="111991.7"/>
    <s v="Nusrat Jahan"/>
    <m/>
    <n v="111991.7"/>
    <n v="-34"/>
    <x v="5"/>
  </r>
  <r>
    <s v="invoices_2026-08.csv"/>
    <s v="INV-202608-0048"/>
    <s v="C026"/>
    <d v="2026-08-05T00:00:00"/>
    <d v="2026-09-04T00:00:00"/>
    <n v="383836.89"/>
    <s v="Nusrat Jahan"/>
    <n v="383836.89"/>
    <n v="0"/>
    <n v="-4"/>
    <x v="0"/>
  </r>
  <r>
    <s v="invoices_2026-08.csv"/>
    <s v="INV-202608-0049"/>
    <s v="C004"/>
    <d v="2026-08-05T00:00:00"/>
    <d v="2026-09-19T00:00:00"/>
    <n v="808967.62"/>
    <s v="Nusrat Jahan"/>
    <m/>
    <n v="808967.62"/>
    <n v="-19"/>
    <x v="5"/>
  </r>
  <r>
    <s v="invoices_2026-08.csv"/>
    <s v="INV-202608-0050"/>
    <s v="C001"/>
    <d v="2026-08-06T00:00:00"/>
    <d v="2026-08-21T00:00:00"/>
    <n v="167254.48000000001"/>
    <s v="Nusrat Jahan"/>
    <n v="167254.47999999998"/>
    <n v="0"/>
    <n v="10"/>
    <x v="0"/>
  </r>
  <r>
    <s v="invoices_2026-08.csv"/>
    <s v="INV-202608-0051"/>
    <s v="C011"/>
    <d v="2026-08-06T00:00:00"/>
    <d v="2026-10-05T00:00:00"/>
    <n v="244167.47"/>
    <s v="Imran Hossain"/>
    <m/>
    <n v="244167.47"/>
    <n v="-35"/>
    <x v="5"/>
  </r>
  <r>
    <s v="invoices_2026-08.csv"/>
    <s v="INV-202608-0052"/>
    <s v="C039"/>
    <d v="2026-08-06T00:00:00"/>
    <d v="2026-08-21T00:00:00"/>
    <n v="75075.67"/>
    <s v="Mahbub Alam"/>
    <n v="61723.37"/>
    <n v="13352.3"/>
    <n v="10"/>
    <x v="4"/>
  </r>
  <r>
    <s v="invoices_2026-08.csv"/>
    <s v="INV-202608-0053"/>
    <s v="C030"/>
    <d v="2026-08-06T00:00:00"/>
    <d v="2026-09-05T00:00:00"/>
    <n v="28947.58"/>
    <s v="Tanvir Ahmed"/>
    <n v="28947.58"/>
    <n v="0"/>
    <n v="-5"/>
    <x v="0"/>
  </r>
  <r>
    <s v="invoices_2026-08.csv"/>
    <s v="INV-202608-0054"/>
    <s v="C012"/>
    <d v="2026-08-06T00:00:00"/>
    <d v="2026-09-05T00:00:00"/>
    <n v="71466.899999999994"/>
    <s v="Shirin Sultana"/>
    <n v="71466.899999999994"/>
    <n v="0"/>
    <n v="-5"/>
    <x v="0"/>
  </r>
  <r>
    <s v="invoices_2026-08.csv"/>
    <s v="INV-202608-0055"/>
    <s v="C050"/>
    <d v="2026-08-06T00:00:00"/>
    <d v="2026-08-21T00:00:00"/>
    <n v="65146.27"/>
    <s v="Nusrat Jahan"/>
    <n v="65146.27"/>
    <n v="0"/>
    <n v="10"/>
    <x v="0"/>
  </r>
  <r>
    <s v="invoices_2026-08.csv"/>
    <s v="INV-202608-0056"/>
    <s v="C013"/>
    <d v="2026-08-06T00:00:00"/>
    <d v="2026-10-05T00:00:00"/>
    <n v="447130.29"/>
    <s v="Nusrat Jahan"/>
    <m/>
    <n v="447130.29"/>
    <n v="-35"/>
    <x v="5"/>
  </r>
  <r>
    <s v="invoices_2026-08.csv"/>
    <s v="INV-202608-0057"/>
    <s v="C019"/>
    <d v="2026-08-07T00:00:00"/>
    <d v="2026-10-06T00:00:00"/>
    <n v="36239.339999999997"/>
    <s v="Tanvir Ahmed"/>
    <n v="36239.339999999997"/>
    <n v="0"/>
    <n v="-36"/>
    <x v="0"/>
  </r>
  <r>
    <s v="invoices_2026-08.csv"/>
    <s v="INV-202608-0058"/>
    <s v="C018"/>
    <d v="2026-08-07T00:00:00"/>
    <d v="2026-09-06T00:00:00"/>
    <n v="102511.63"/>
    <s v="Shirin Sultana"/>
    <n v="102511.63"/>
    <n v="0"/>
    <n v="-6"/>
    <x v="0"/>
  </r>
  <r>
    <s v="invoices_2026-08.csv"/>
    <s v="INV-202608-0059"/>
    <s v="C008"/>
    <d v="2026-08-07T00:00:00"/>
    <d v="2026-09-21T00:00:00"/>
    <n v="351222.2"/>
    <s v="Shirin Sultana"/>
    <n v="351222.2"/>
    <n v="0"/>
    <n v="-21"/>
    <x v="0"/>
  </r>
  <r>
    <s v="invoices_2026-08.csv"/>
    <s v="INV-202608-0060"/>
    <s v="C007"/>
    <d v="2026-08-07T00:00:00"/>
    <d v="2026-09-06T00:00:00"/>
    <n v="233980.15"/>
    <s v="Mahbub Alam"/>
    <n v="233980.15"/>
    <n v="0"/>
    <n v="-6"/>
    <x v="0"/>
  </r>
  <r>
    <s v="invoices_2026-08.csv"/>
    <s v="INV-202608-0061"/>
    <s v="C025"/>
    <d v="2026-08-07T00:00:00"/>
    <d v="2026-09-21T00:00:00"/>
    <n v="572087.09"/>
    <s v="Imran Hossain"/>
    <m/>
    <n v="572087.09"/>
    <n v="-21"/>
    <x v="5"/>
  </r>
  <r>
    <s v="invoices_2026-08.csv"/>
    <s v="INV-202608-0062"/>
    <s v="C007"/>
    <d v="2026-08-07T00:00:00"/>
    <d v="2026-09-06T00:00:00"/>
    <n v="599453.46"/>
    <s v="Mahbub Alam"/>
    <m/>
    <n v="599453.46"/>
    <n v="-6"/>
    <x v="5"/>
  </r>
  <r>
    <s v="invoices_2026-08.csv"/>
    <s v="INV-202608-0063"/>
    <s v="C031"/>
    <d v="2026-08-08T00:00:00"/>
    <d v="2026-09-07T00:00:00"/>
    <n v="129006.69"/>
    <s v="Tanvir Ahmed"/>
    <n v="129006.69"/>
    <n v="0"/>
    <n v="-7"/>
    <x v="0"/>
  </r>
  <r>
    <s v="invoices_2026-08.csv"/>
    <s v="INV-202608-0064"/>
    <s v="C030"/>
    <d v="2026-08-08T00:00:00"/>
    <d v="2026-09-07T00:00:00"/>
    <n v="44952.31"/>
    <s v="Tanvir Ahmed"/>
    <m/>
    <n v="44952.31"/>
    <n v="-7"/>
    <x v="5"/>
  </r>
  <r>
    <s v="invoices_2026-08.csv"/>
    <s v="INV-202608-0065"/>
    <s v="C012"/>
    <d v="2026-08-08T00:00:00"/>
    <d v="2026-09-07T00:00:00"/>
    <n v="151254.04999999999"/>
    <s v="Shirin Sultana"/>
    <n v="151254.04999999999"/>
    <n v="0"/>
    <n v="-7"/>
    <x v="0"/>
  </r>
  <r>
    <s v="invoices_2026-08.csv"/>
    <s v="INV-202608-0066"/>
    <s v="C039"/>
    <d v="2026-08-08T00:00:00"/>
    <d v="2026-08-23T00:00:00"/>
    <n v="14376.29"/>
    <s v="Mahbub Alam"/>
    <n v="14376.29"/>
    <n v="0"/>
    <n v="8"/>
    <x v="0"/>
  </r>
  <r>
    <s v="invoices_2026-08.csv"/>
    <s v="INV-202608-0067"/>
    <s v="C014"/>
    <d v="2026-08-08T00:00:00"/>
    <d v="2026-10-07T00:00:00"/>
    <n v="141595.65"/>
    <s v="Nusrat Jahan"/>
    <n v="141595.65"/>
    <n v="0"/>
    <n v="-37"/>
    <x v="0"/>
  </r>
  <r>
    <s v="invoices_2026-08.csv"/>
    <s v="INV-202608-0068"/>
    <s v="C026"/>
    <d v="2026-08-08T00:00:00"/>
    <d v="2026-09-07T00:00:00"/>
    <n v="384741.81"/>
    <s v="Nusrat Jahan"/>
    <m/>
    <n v="384741.81"/>
    <n v="-7"/>
    <x v="5"/>
  </r>
  <r>
    <s v="invoices_2026-08.csv"/>
    <s v="INV-202608-0069"/>
    <s v="C042"/>
    <d v="2026-08-08T00:00:00"/>
    <d v="2026-09-07T00:00:00"/>
    <n v="9550.4699999999993"/>
    <s v="Nusrat Jahan"/>
    <n v="9550.4699999999993"/>
    <n v="0"/>
    <n v="-7"/>
    <x v="0"/>
  </r>
  <r>
    <s v="invoices_2026-08.csv"/>
    <s v="INV-202608-0070"/>
    <s v="C035"/>
    <d v="2026-08-08T00:00:00"/>
    <d v="2026-09-22T00:00:00"/>
    <n v="227606.93"/>
    <s v="Farzana Akter"/>
    <m/>
    <n v="227606.93"/>
    <n v="-22"/>
    <x v="5"/>
  </r>
  <r>
    <s v="invoices_2026-08.csv"/>
    <s v="INV-202608-0071"/>
    <s v="C010"/>
    <d v="2026-08-08T00:00:00"/>
    <d v="2026-08-23T00:00:00"/>
    <n v="25744.720000000001"/>
    <s v="Imran Hossain"/>
    <n v="25744.720000000001"/>
    <n v="0"/>
    <n v="8"/>
    <x v="0"/>
  </r>
  <r>
    <s v="invoices_2026-08.csv"/>
    <s v="INV-202608-0072"/>
    <s v="C041"/>
    <d v="2026-08-08T00:00:00"/>
    <d v="2026-09-07T00:00:00"/>
    <n v="51839.56"/>
    <s v="Tanvir Ahmed"/>
    <m/>
    <n v="51839.56"/>
    <n v="-7"/>
    <x v="5"/>
  </r>
  <r>
    <s v="invoices_2026-08.csv"/>
    <s v="INV-202608-0073"/>
    <s v="C045"/>
    <d v="2026-08-08T00:00:00"/>
    <d v="2026-08-23T00:00:00"/>
    <n v="54251.5"/>
    <s v="Mahbub Alam"/>
    <n v="54251.5"/>
    <n v="0"/>
    <n v="8"/>
    <x v="0"/>
  </r>
  <r>
    <s v="invoices_2026-08.csv"/>
    <s v="INV-202608-0074"/>
    <s v="C002"/>
    <d v="2026-08-09T00:00:00"/>
    <d v="2026-09-23T00:00:00"/>
    <n v="80591.23"/>
    <s v="Tanvir Ahmed"/>
    <m/>
    <n v="80591.23"/>
    <n v="-23"/>
    <x v="5"/>
  </r>
  <r>
    <s v="invoices_2026-08.csv"/>
    <s v="INV-202608-0075"/>
    <s v="C035"/>
    <d v="2026-08-09T00:00:00"/>
    <d v="2026-09-23T00:00:00"/>
    <n v="593239.01"/>
    <s v="Farzana Akter"/>
    <m/>
    <n v="593239.01"/>
    <n v="-23"/>
    <x v="5"/>
  </r>
  <r>
    <s v="invoices_2026-08.csv"/>
    <s v="INV-202608-0076"/>
    <s v="C036"/>
    <d v="2026-08-09T00:00:00"/>
    <d v="2026-09-08T00:00:00"/>
    <n v="29440.55"/>
    <s v="Nusrat Jahan"/>
    <n v="29440.55"/>
    <n v="0"/>
    <n v="-8"/>
    <x v="0"/>
  </r>
  <r>
    <s v="invoices_2026-08.csv"/>
    <s v="INV-202608-0077"/>
    <s v="C044"/>
    <d v="2026-08-09T00:00:00"/>
    <d v="2026-09-08T00:00:00"/>
    <n v="24879.200000000001"/>
    <s v="Mahbub Alam"/>
    <n v="24879.200000000001"/>
    <n v="0"/>
    <n v="-8"/>
    <x v="0"/>
  </r>
  <r>
    <s v="invoices_2026-08.csv"/>
    <s v="INV-202608-0078"/>
    <s v="C033"/>
    <d v="2026-08-09T00:00:00"/>
    <d v="2026-09-08T00:00:00"/>
    <n v="88338.45"/>
    <s v="Nusrat Jahan"/>
    <m/>
    <n v="88338.45"/>
    <n v="-8"/>
    <x v="5"/>
  </r>
  <r>
    <s v="invoices_2026-08.csv"/>
    <s v="INV-202608-0079"/>
    <s v="C021"/>
    <d v="2026-08-09T00:00:00"/>
    <d v="2026-09-08T00:00:00"/>
    <n v="390208.66"/>
    <s v="Mahbub Alam"/>
    <n v="390208.66"/>
    <n v="0"/>
    <n v="-8"/>
    <x v="0"/>
  </r>
  <r>
    <s v="invoices_2026-08.csv"/>
    <s v="INV-202608-0080"/>
    <s v="C020"/>
    <d v="2026-08-09T00:00:00"/>
    <d v="2026-10-08T00:00:00"/>
    <n v="28330.16"/>
    <s v="Nusrat Jahan"/>
    <m/>
    <n v="28330.16"/>
    <n v="-38"/>
    <x v="5"/>
  </r>
  <r>
    <s v="invoices_2026-08.csv"/>
    <s v="INV-202608-0081"/>
    <s v="C006"/>
    <d v="2026-08-09T00:00:00"/>
    <d v="2026-09-23T00:00:00"/>
    <n v="155819.62"/>
    <s v="Nusrat Jahan"/>
    <m/>
    <n v="155819.62"/>
    <n v="-23"/>
    <x v="5"/>
  </r>
  <r>
    <s v="invoices_2026-08.csv"/>
    <s v="INV-202608-0082"/>
    <s v="C009"/>
    <d v="2026-08-09T00:00:00"/>
    <d v="2026-09-23T00:00:00"/>
    <n v="1713287.65"/>
    <s v="Farzana Akter"/>
    <m/>
    <n v="1713287.65"/>
    <n v="-23"/>
    <x v="5"/>
  </r>
  <r>
    <s v="invoices_2026-08.csv"/>
    <s v="INV-202608-0083"/>
    <s v="C007"/>
    <d v="2026-08-10T00:00:00"/>
    <d v="2026-09-09T00:00:00"/>
    <n v="184488.84"/>
    <s v="Mahbub Alam"/>
    <n v="184488.84"/>
    <n v="0"/>
    <n v="-9"/>
    <x v="0"/>
  </r>
  <r>
    <s v="invoices_2026-08.csv"/>
    <s v="INV-202608-0084"/>
    <s v="C005"/>
    <d v="2026-08-10T00:00:00"/>
    <d v="2026-09-09T00:00:00"/>
    <n v="140286.12"/>
    <s v="Mahbub Alam"/>
    <n v="93775.31"/>
    <n v="46510.81"/>
    <n v="-9"/>
    <x v="5"/>
  </r>
  <r>
    <s v="invoices_2026-08.csv"/>
    <s v="INV-202608-0085"/>
    <s v="C024"/>
    <d v="2026-08-10T00:00:00"/>
    <d v="2026-09-09T00:00:00"/>
    <n v="10140.450000000001"/>
    <s v="Farzana Akter"/>
    <n v="10140.450000000001"/>
    <n v="0"/>
    <n v="-9"/>
    <x v="0"/>
  </r>
  <r>
    <s v="invoices_2026-08.csv"/>
    <s v="INV-202608-0086"/>
    <s v="C032"/>
    <d v="2026-08-10T00:00:00"/>
    <d v="2026-09-24T00:00:00"/>
    <n v="1782979"/>
    <s v="Shirin Sultana"/>
    <n v="1782979"/>
    <n v="0"/>
    <n v="-24"/>
    <x v="0"/>
  </r>
  <r>
    <s v="invoices_2026-08.csv"/>
    <s v="INV-202608-0087"/>
    <s v="C012"/>
    <d v="2026-08-10T00:00:00"/>
    <d v="2026-09-09T00:00:00"/>
    <n v="129344.12"/>
    <s v="Shirin Sultana"/>
    <n v="129344.12"/>
    <n v="0"/>
    <n v="-9"/>
    <x v="0"/>
  </r>
  <r>
    <s v="invoices_2026-08.csv"/>
    <s v="INV-202608-0088"/>
    <s v="C049"/>
    <d v="2026-08-10T00:00:00"/>
    <d v="2026-08-25T00:00:00"/>
    <n v="36585.19"/>
    <s v="Farzana Akter"/>
    <n v="36585.19"/>
    <n v="0"/>
    <n v="6"/>
    <x v="0"/>
  </r>
  <r>
    <s v="invoices_2026-08.csv"/>
    <s v="INV-202608-0089"/>
    <s v="C032"/>
    <d v="2026-08-10T00:00:00"/>
    <d v="2026-09-24T00:00:00"/>
    <n v="1375753.27"/>
    <s v="Shirin Sultana"/>
    <n v="1375753.27"/>
    <n v="0"/>
    <n v="-24"/>
    <x v="0"/>
  </r>
  <r>
    <s v="invoices_2026-08.csv"/>
    <s v="INV-202608-0090"/>
    <s v="C009"/>
    <d v="2026-08-10T00:00:00"/>
    <d v="2026-09-24T00:00:00"/>
    <n v="712354.53"/>
    <s v="Farzana Akter"/>
    <n v="712354.53"/>
    <n v="0"/>
    <n v="-24"/>
    <x v="0"/>
  </r>
  <r>
    <s v="invoices_2026-08.csv"/>
    <s v="INV-202608-0091"/>
    <s v="C030"/>
    <d v="2026-08-10T00:00:00"/>
    <d v="2026-09-09T00:00:00"/>
    <n v="15233.56"/>
    <s v="Tanvir Ahmed"/>
    <n v="15233.56"/>
    <n v="0"/>
    <n v="-9"/>
    <x v="0"/>
  </r>
  <r>
    <s v="invoices_2026-08.csv"/>
    <s v="INV-202608-0092"/>
    <s v="C046"/>
    <d v="2026-08-10T00:00:00"/>
    <d v="2026-09-09T00:00:00"/>
    <n v="75696.23"/>
    <s v="Mahbub Alam"/>
    <n v="75696.23"/>
    <n v="0"/>
    <n v="-9"/>
    <x v="0"/>
  </r>
  <r>
    <s v="invoices_2026-08.csv"/>
    <s v="INV-202608-0093"/>
    <s v="C045"/>
    <d v="2026-08-10T00:00:00"/>
    <d v="2026-08-25T00:00:00"/>
    <n v="56010.14"/>
    <s v="Mahbub Alam"/>
    <n v="56010.14"/>
    <n v="0"/>
    <n v="6"/>
    <x v="0"/>
  </r>
  <r>
    <s v="invoices_2026-08.csv"/>
    <s v="INV-202608-0094"/>
    <s v="C010"/>
    <d v="2026-08-11T00:00:00"/>
    <d v="2026-08-26T00:00:00"/>
    <n v="19344.98"/>
    <s v="Imran Hossain"/>
    <n v="19344.98"/>
    <n v="0"/>
    <n v="5"/>
    <x v="0"/>
  </r>
  <r>
    <s v="invoices_2026-08.csv"/>
    <s v="INV-202608-0095"/>
    <s v="C050"/>
    <d v="2026-08-11T00:00:00"/>
    <d v="2026-08-26T00:00:00"/>
    <n v="5000"/>
    <s v="Nusrat Jahan"/>
    <n v="5000"/>
    <n v="0"/>
    <n v="5"/>
    <x v="0"/>
  </r>
  <r>
    <s v="invoices_2026-08.csv"/>
    <s v="INV-202608-0096"/>
    <s v="C009"/>
    <d v="2026-08-11T00:00:00"/>
    <d v="2026-09-25T00:00:00"/>
    <n v="361258.04"/>
    <s v="Farzana Akter"/>
    <n v="361258.04"/>
    <n v="0"/>
    <n v="-25"/>
    <x v="0"/>
  </r>
  <r>
    <s v="invoices_2026-08.csv"/>
    <s v="INV-202608-0097"/>
    <s v="C035"/>
    <d v="2026-08-11T00:00:00"/>
    <d v="2026-09-25T00:00:00"/>
    <n v="93127.47"/>
    <s v="Farzana Akter"/>
    <m/>
    <n v="93127.47"/>
    <n v="-25"/>
    <x v="5"/>
  </r>
  <r>
    <s v="invoices_2026-08.csv"/>
    <s v="INV-202608-0098"/>
    <s v="C033"/>
    <d v="2026-08-11T00:00:00"/>
    <d v="2026-09-10T00:00:00"/>
    <n v="650089.53"/>
    <s v="Nusrat Jahan"/>
    <n v="650089.53"/>
    <n v="0"/>
    <n v="-10"/>
    <x v="0"/>
  </r>
  <r>
    <s v="invoices_2026-08.csv"/>
    <s v="INV-202608-0099"/>
    <s v="C045"/>
    <d v="2026-08-11T00:00:00"/>
    <d v="2026-08-26T00:00:00"/>
    <n v="41400.639999999999"/>
    <s v="Mahbub Alam"/>
    <m/>
    <n v="41400.639999999999"/>
    <n v="5"/>
    <x v="4"/>
  </r>
  <r>
    <s v="invoices_2026-08.csv"/>
    <s v="INV-202608-0100"/>
    <s v="C016"/>
    <d v="2026-08-12T00:00:00"/>
    <d v="2026-09-11T00:00:00"/>
    <n v="14811.91"/>
    <s v="Shirin Sultana"/>
    <m/>
    <n v="14811.91"/>
    <n v="-11"/>
    <x v="5"/>
  </r>
  <r>
    <s v="invoices_2026-08.csv"/>
    <s v="INV-202608-0101"/>
    <s v="C028"/>
    <d v="2026-08-12T00:00:00"/>
    <d v="2026-10-11T00:00:00"/>
    <n v="195678"/>
    <s v="Shirin Sultana"/>
    <m/>
    <n v="195678"/>
    <n v="-41"/>
    <x v="5"/>
  </r>
  <r>
    <s v="invoices_2026-08.csv"/>
    <s v="INV-202608-0102"/>
    <s v="C009"/>
    <d v="2026-08-12T00:00:00"/>
    <d v="2026-09-26T00:00:00"/>
    <n v="63133"/>
    <s v="Farzana Akter"/>
    <m/>
    <n v="63133"/>
    <n v="-26"/>
    <x v="5"/>
  </r>
  <r>
    <s v="invoices_2026-08.csv"/>
    <s v="INV-202608-0103"/>
    <s v="C029"/>
    <d v="2026-08-12T00:00:00"/>
    <d v="2026-09-11T00:00:00"/>
    <n v="49262.03"/>
    <s v="Farzana Akter"/>
    <n v="49262.03"/>
    <n v="0"/>
    <n v="-11"/>
    <x v="0"/>
  </r>
  <r>
    <s v="invoices_2026-08.csv"/>
    <s v="INV-202608-0104"/>
    <s v="C012"/>
    <d v="2026-08-12T00:00:00"/>
    <d v="2026-09-11T00:00:00"/>
    <n v="367656.64"/>
    <s v="Shirin Sultana"/>
    <n v="163973.78"/>
    <n v="203682.86"/>
    <n v="-11"/>
    <x v="5"/>
  </r>
  <r>
    <s v="invoices_2026-08.csv"/>
    <s v="INV-202608-0105"/>
    <s v="C014"/>
    <d v="2026-08-12T00:00:00"/>
    <d v="2026-10-11T00:00:00"/>
    <n v="1166588.8500000001"/>
    <s v="Nusrat Jahan"/>
    <m/>
    <n v="1166588.8500000001"/>
    <n v="-41"/>
    <x v="5"/>
  </r>
  <r>
    <s v="invoices_2026-08.csv"/>
    <s v="INV-202608-0106"/>
    <s v="C013"/>
    <d v="2026-08-12T00:00:00"/>
    <d v="2026-10-11T00:00:00"/>
    <n v="757670"/>
    <s v="Nusrat Jahan"/>
    <m/>
    <n v="757670"/>
    <n v="-41"/>
    <x v="5"/>
  </r>
  <r>
    <s v="invoices_2026-08.csv"/>
    <s v="INV-202608-0107"/>
    <s v="C030"/>
    <d v="2026-08-12T00:00:00"/>
    <d v="2026-09-11T00:00:00"/>
    <n v="32069.57"/>
    <s v="Tanvir Ahmed"/>
    <n v="32069.57"/>
    <n v="0"/>
    <n v="-11"/>
    <x v="0"/>
  </r>
  <r>
    <s v="invoices_2026-08.csv"/>
    <s v="INV-202608-0108"/>
    <s v="C046"/>
    <d v="2026-08-12T00:00:00"/>
    <d v="2026-09-11T00:00:00"/>
    <n v="92877.46"/>
    <s v="Mahbub Alam"/>
    <m/>
    <n v="92877.46"/>
    <n v="-11"/>
    <x v="5"/>
  </r>
  <r>
    <s v="invoices_2026-08.csv"/>
    <s v="INV-202608-0109"/>
    <s v="C002"/>
    <d v="2026-08-12T00:00:00"/>
    <d v="2026-09-26T00:00:00"/>
    <n v="56428.33"/>
    <s v="Tanvir Ahmed"/>
    <m/>
    <n v="56428.33"/>
    <n v="-26"/>
    <x v="5"/>
  </r>
  <r>
    <s v="invoices_2026-08.csv"/>
    <s v="INV-202608-0110"/>
    <s v="C004"/>
    <d v="2026-08-13T00:00:00"/>
    <d v="2026-09-27T00:00:00"/>
    <n v="2000000"/>
    <s v="Nusrat Jahan"/>
    <n v="2000000"/>
    <n v="0"/>
    <n v="-27"/>
    <x v="0"/>
  </r>
  <r>
    <s v="invoices_2026-08.csv"/>
    <s v="INV-202608-0111"/>
    <s v="C024"/>
    <d v="2026-08-13T00:00:00"/>
    <d v="2026-09-12T00:00:00"/>
    <n v="29254.6"/>
    <s v="Farzana Akter"/>
    <n v="29254.6"/>
    <n v="0"/>
    <n v="-12"/>
    <x v="0"/>
  </r>
  <r>
    <s v="invoices_2026-08.csv"/>
    <s v="INV-202608-0112"/>
    <s v="C026"/>
    <d v="2026-08-13T00:00:00"/>
    <d v="2026-09-12T00:00:00"/>
    <n v="2000000"/>
    <s v="Nusrat Jahan"/>
    <n v="2000000"/>
    <n v="0"/>
    <n v="-12"/>
    <x v="0"/>
  </r>
  <r>
    <s v="invoices_2026-08.csv"/>
    <s v="INV-202608-0113"/>
    <s v="C014"/>
    <d v="2026-08-13T00:00:00"/>
    <d v="2026-10-12T00:00:00"/>
    <n v="526097.18000000005"/>
    <s v="Nusrat Jahan"/>
    <m/>
    <n v="526097.18000000005"/>
    <n v="-42"/>
    <x v="5"/>
  </r>
  <r>
    <s v="invoices_2026-08.csv"/>
    <s v="INV-202608-0114"/>
    <s v="C030"/>
    <d v="2026-08-13T00:00:00"/>
    <d v="2026-09-12T00:00:00"/>
    <n v="6696.54"/>
    <s v="Tanvir Ahmed"/>
    <n v="3555.47"/>
    <n v="3141.07"/>
    <n v="-12"/>
    <x v="5"/>
  </r>
  <r>
    <s v="invoices_2026-08.csv"/>
    <s v="INV-202608-0115"/>
    <s v="C008"/>
    <d v="2026-08-13T00:00:00"/>
    <d v="2026-09-27T00:00:00"/>
    <n v="201848.31"/>
    <s v="Shirin Sultana"/>
    <n v="201848.31"/>
    <n v="0"/>
    <n v="-27"/>
    <x v="0"/>
  </r>
  <r>
    <s v="invoices_2026-08.csv"/>
    <s v="INV-202608-0116"/>
    <s v="C013"/>
    <d v="2026-08-13T00:00:00"/>
    <d v="2026-10-12T00:00:00"/>
    <n v="201256.13"/>
    <s v="Nusrat Jahan"/>
    <m/>
    <n v="201256.13"/>
    <n v="-42"/>
    <x v="5"/>
  </r>
  <r>
    <s v="invoices_2026-08.csv"/>
    <s v="INV-202608-0117"/>
    <s v="C046"/>
    <d v="2026-08-13T00:00:00"/>
    <d v="2026-09-12T00:00:00"/>
    <n v="129773.21"/>
    <s v="Mahbub Alam"/>
    <m/>
    <n v="129773.21"/>
    <n v="-12"/>
    <x v="5"/>
  </r>
  <r>
    <s v="invoices_2026-08.csv"/>
    <s v="INV-202608-0118"/>
    <s v="C040"/>
    <d v="2026-08-13T00:00:00"/>
    <d v="2026-10-12T00:00:00"/>
    <n v="132203.70000000001"/>
    <s v="Nusrat Jahan"/>
    <n v="132203.70000000001"/>
    <n v="0"/>
    <n v="-42"/>
    <x v="0"/>
  </r>
  <r>
    <s v="invoices_2026-08.csv"/>
    <s v="INV-202608-0119"/>
    <s v="C007"/>
    <d v="2026-08-14T00:00:00"/>
    <d v="2026-09-13T00:00:00"/>
    <n v="2000000"/>
    <s v="Mahbub Alam"/>
    <m/>
    <n v="2000000"/>
    <n v="-13"/>
    <x v="5"/>
  </r>
  <r>
    <s v="invoices_2026-08.csv"/>
    <s v="INV-202608-0120"/>
    <s v="C030"/>
    <d v="2026-08-14T00:00:00"/>
    <d v="2026-09-13T00:00:00"/>
    <n v="12578.41"/>
    <s v="Tanvir Ahmed"/>
    <m/>
    <n v="12578.41"/>
    <n v="-13"/>
    <x v="5"/>
  </r>
  <r>
    <s v="invoices_2026-08.csv"/>
    <s v="INV-202608-0121"/>
    <s v="C012"/>
    <d v="2026-08-14T00:00:00"/>
    <d v="2026-09-13T00:00:00"/>
    <n v="174018.89"/>
    <s v="Shirin Sultana"/>
    <m/>
    <n v="174018.89"/>
    <n v="-13"/>
    <x v="5"/>
  </r>
  <r>
    <s v="invoices_2026-08.csv"/>
    <s v="INV-202608-0122"/>
    <s v="C003"/>
    <d v="2026-08-14T00:00:00"/>
    <d v="2026-09-13T00:00:00"/>
    <n v="62867.57"/>
    <s v="Mahbub Alam"/>
    <m/>
    <n v="62867.57"/>
    <n v="-13"/>
    <x v="5"/>
  </r>
  <r>
    <s v="invoices_2026-08.csv"/>
    <s v="INV-202608-0123"/>
    <s v="C007"/>
    <d v="2026-08-14T00:00:00"/>
    <d v="2026-09-13T00:00:00"/>
    <n v="379432.93"/>
    <s v="Mahbub Alam"/>
    <m/>
    <n v="379432.93"/>
    <n v="-13"/>
    <x v="5"/>
  </r>
  <r>
    <s v="invoices_2026-08.csv"/>
    <s v="INV-202608-0124"/>
    <s v="C024"/>
    <d v="2026-08-14T00:00:00"/>
    <d v="2026-09-13T00:00:00"/>
    <n v="38862.1"/>
    <s v="Farzana Akter"/>
    <n v="38862.1"/>
    <n v="0"/>
    <n v="-13"/>
    <x v="0"/>
  </r>
  <r>
    <s v="invoices_2026-08.csv"/>
    <s v="INV-202608-0125"/>
    <s v="C003"/>
    <d v="2026-08-14T00:00:00"/>
    <d v="2026-09-13T00:00:00"/>
    <n v="12971.82"/>
    <s v="Mahbub Alam"/>
    <n v="12971.82"/>
    <n v="0"/>
    <n v="-13"/>
    <x v="0"/>
  </r>
  <r>
    <s v="invoices_2026-08.csv"/>
    <s v="INV-202608-0126"/>
    <s v="C026"/>
    <d v="2026-08-15T00:00:00"/>
    <d v="2026-09-14T00:00:00"/>
    <n v="420453.18"/>
    <s v="Nusrat Jahan"/>
    <m/>
    <n v="420453.18"/>
    <n v="-14"/>
    <x v="5"/>
  </r>
  <r>
    <s v="invoices_2026-08.csv"/>
    <s v="INV-202608-0127"/>
    <s v="C020"/>
    <d v="2026-08-15T00:00:00"/>
    <d v="2026-10-14T00:00:00"/>
    <n v="227573.09"/>
    <s v="Nusrat Jahan"/>
    <m/>
    <n v="227573.09"/>
    <n v="-44"/>
    <x v="5"/>
  </r>
  <r>
    <s v="invoices_2026-08.csv"/>
    <s v="INV-202608-0128"/>
    <s v="C025"/>
    <d v="2026-08-15T00:00:00"/>
    <d v="2026-09-29T00:00:00"/>
    <n v="191112.64"/>
    <s v="Imran Hossain"/>
    <n v="191112.64"/>
    <n v="0"/>
    <n v="-29"/>
    <x v="0"/>
  </r>
  <r>
    <s v="invoices_2026-08.csv"/>
    <s v="INV-202608-0129"/>
    <s v="C009"/>
    <d v="2026-08-15T00:00:00"/>
    <d v="2026-09-29T00:00:00"/>
    <n v="653186.12"/>
    <s v="Farzana Akter"/>
    <m/>
    <n v="653186.12"/>
    <n v="-29"/>
    <x v="5"/>
  </r>
  <r>
    <s v="invoices_2026-08.csv"/>
    <s v="INV-202608-0130"/>
    <s v="C007"/>
    <d v="2026-08-15T00:00:00"/>
    <d v="2026-09-14T00:00:00"/>
    <n v="1454109.2"/>
    <s v="Mahbub Alam"/>
    <n v="1454109.2"/>
    <n v="0"/>
    <n v="-14"/>
    <x v="0"/>
  </r>
  <r>
    <s v="invoices_2026-08.csv"/>
    <s v="INV-202608-0131"/>
    <s v="C013"/>
    <d v="2026-08-15T00:00:00"/>
    <d v="2026-10-14T00:00:00"/>
    <n v="925458.66"/>
    <s v="Nusrat Jahan"/>
    <m/>
    <n v="925458.66"/>
    <n v="-44"/>
    <x v="5"/>
  </r>
  <r>
    <s v="invoices_2026-08.csv"/>
    <s v="INV-202608-0132"/>
    <s v="C035"/>
    <d v="2026-08-15T00:00:00"/>
    <d v="2026-09-29T00:00:00"/>
    <n v="406628.96"/>
    <s v="Farzana Akter"/>
    <m/>
    <n v="406628.96"/>
    <n v="-29"/>
    <x v="5"/>
  </r>
  <r>
    <s v="invoices_2026-08.csv"/>
    <s v="INV-202608-0133"/>
    <s v="C032"/>
    <d v="2026-08-15T00:00:00"/>
    <d v="2026-09-29T00:00:00"/>
    <n v="124835.99"/>
    <s v="Shirin Sultana"/>
    <m/>
    <n v="124835.99"/>
    <n v="-29"/>
    <x v="5"/>
  </r>
  <r>
    <s v="invoices_2026-08.csv"/>
    <s v="INV-202608-0134"/>
    <s v="C012"/>
    <d v="2026-08-15T00:00:00"/>
    <d v="2026-09-14T00:00:00"/>
    <n v="79173.16"/>
    <s v="Shirin Sultana"/>
    <m/>
    <n v="79173.16"/>
    <n v="-14"/>
    <x v="5"/>
  </r>
  <r>
    <s v="invoices_2026-08.csv"/>
    <s v="INV-202608-0135"/>
    <s v="C032"/>
    <d v="2026-08-15T00:00:00"/>
    <d v="2026-09-29T00:00:00"/>
    <n v="308438.25"/>
    <s v="Shirin Sultana"/>
    <m/>
    <n v="308438.25"/>
    <n v="-29"/>
    <x v="5"/>
  </r>
  <r>
    <s v="invoices_2026-08.csv"/>
    <s v="INV-202608-0136"/>
    <s v="C012"/>
    <d v="2026-08-15T00:00:00"/>
    <d v="2026-09-14T00:00:00"/>
    <n v="177926.57"/>
    <s v="Shirin Sultana"/>
    <m/>
    <n v="177926.57"/>
    <n v="-14"/>
    <x v="5"/>
  </r>
  <r>
    <s v="invoices_2026-08.csv"/>
    <s v="INV-202608-0137"/>
    <s v="C009"/>
    <d v="2026-08-16T00:00:00"/>
    <d v="2026-09-30T00:00:00"/>
    <n v="241231.04"/>
    <s v="Farzana Akter"/>
    <n v="241231.04"/>
    <n v="0"/>
    <n v="-30"/>
    <x v="0"/>
  </r>
  <r>
    <s v="invoices_2026-08.csv"/>
    <s v="INV-202608-0138"/>
    <s v="C046"/>
    <d v="2026-08-16T00:00:00"/>
    <d v="2026-09-15T00:00:00"/>
    <n v="57552.4"/>
    <s v="Mahbub Alam"/>
    <n v="57552.4"/>
    <n v="0"/>
    <n v="-15"/>
    <x v="0"/>
  </r>
  <r>
    <s v="invoices_2026-08.csv"/>
    <s v="INV-202608-0139"/>
    <s v="C013"/>
    <d v="2026-08-16T00:00:00"/>
    <d v="2026-10-15T00:00:00"/>
    <n v="122901.41"/>
    <s v="Nusrat Jahan"/>
    <m/>
    <n v="122901.41"/>
    <n v="-45"/>
    <x v="5"/>
  </r>
  <r>
    <s v="invoices_2026-08.csv"/>
    <s v="INV-202608-0140"/>
    <s v="C036"/>
    <d v="2026-08-16T00:00:00"/>
    <d v="2026-09-15T00:00:00"/>
    <n v="7291.65"/>
    <s v="Nusrat Jahan"/>
    <n v="7291.65"/>
    <n v="0"/>
    <n v="-15"/>
    <x v="0"/>
  </r>
  <r>
    <s v="invoices_2026-08.csv"/>
    <s v="INV-202608-0142"/>
    <s v="C041"/>
    <d v="2026-08-16T00:00:00"/>
    <d v="2026-09-15T00:00:00"/>
    <n v="8663.91"/>
    <s v="Tanvir Ahmed"/>
    <m/>
    <n v="8663.91"/>
    <n v="-15"/>
    <x v="5"/>
  </r>
  <r>
    <s v="invoices_2026-08.csv"/>
    <s v="INV-202608-0143"/>
    <s v="C050"/>
    <d v="2026-08-16T00:00:00"/>
    <d v="2026-08-31T00:00:00"/>
    <n v="13529.18"/>
    <s v="Nusrat Jahan"/>
    <n v="13529.18"/>
    <n v="0"/>
    <n v="0"/>
    <x v="0"/>
  </r>
  <r>
    <s v="invoices_2026-08.csv"/>
    <s v="INV-202608-0144"/>
    <s v="C020"/>
    <d v="2026-08-16T00:00:00"/>
    <d v="2026-10-15T00:00:00"/>
    <n v="96296.85"/>
    <s v="Nusrat Jahan"/>
    <n v="60702.1"/>
    <n v="35594.75"/>
    <n v="-45"/>
    <x v="5"/>
  </r>
  <r>
    <s v="invoices_2026-08.csv"/>
    <s v="INV-202608-0145"/>
    <s v="C038"/>
    <d v="2026-08-16T00:00:00"/>
    <d v="2026-10-15T00:00:00"/>
    <n v="39350.980000000003"/>
    <s v="Imran Hossain"/>
    <m/>
    <n v="39350.980000000003"/>
    <n v="-45"/>
    <x v="5"/>
  </r>
  <r>
    <s v="invoices_2026-08.csv"/>
    <s v="INV-202608-0146"/>
    <s v="C044"/>
    <d v="2026-08-16T00:00:00"/>
    <d v="2026-09-15T00:00:00"/>
    <n v="545081.78"/>
    <s v="Mahbub Alam"/>
    <n v="71698.33"/>
    <n v="473383.45"/>
    <n v="-15"/>
    <x v="5"/>
  </r>
  <r>
    <s v="invoices_2026-08.csv"/>
    <s v="INV-202608-0147"/>
    <s v="C044"/>
    <d v="2026-08-16T00:00:00"/>
    <d v="2026-09-15T00:00:00"/>
    <n v="767687.82"/>
    <s v="Mahbub Alam"/>
    <m/>
    <n v="767687.82"/>
    <n v="-15"/>
    <x v="5"/>
  </r>
  <r>
    <s v="invoices_2026-08.csv"/>
    <s v="INV-202608-0148"/>
    <s v="C030"/>
    <d v="2026-08-17T00:00:00"/>
    <d v="2026-09-16T00:00:00"/>
    <n v="20767.560000000001"/>
    <s v="Tanvir Ahmed"/>
    <m/>
    <n v="20767.560000000001"/>
    <n v="-16"/>
    <x v="5"/>
  </r>
  <r>
    <s v="invoices_2026-08.csv"/>
    <s v="INV-202608-0149"/>
    <s v="C019"/>
    <d v="2026-08-17T00:00:00"/>
    <d v="2026-10-16T00:00:00"/>
    <n v="92431.38"/>
    <s v="Tanvir Ahmed"/>
    <m/>
    <n v="92431.38"/>
    <n v="-46"/>
    <x v="5"/>
  </r>
  <r>
    <s v="invoices_2026-08.csv"/>
    <s v="INV-202608-0150"/>
    <s v="C004"/>
    <d v="2026-08-17T00:00:00"/>
    <d v="2026-10-01T00:00:00"/>
    <n v="633164.04"/>
    <s v="Nusrat Jahan"/>
    <m/>
    <n v="633164.04"/>
    <n v="-31"/>
    <x v="5"/>
  </r>
  <r>
    <s v="invoices_2026-08.csv"/>
    <s v="INV-202608-0151"/>
    <s v="C046"/>
    <d v="2026-08-17T00:00:00"/>
    <d v="2026-09-16T00:00:00"/>
    <n v="71047.39"/>
    <s v="Mahbub Alam"/>
    <m/>
    <n v="71047.39"/>
    <n v="-16"/>
    <x v="5"/>
  </r>
  <r>
    <s v="invoices_2026-08.csv"/>
    <s v="INV-202608-0152"/>
    <s v="C044"/>
    <d v="2026-08-17T00:00:00"/>
    <d v="2026-09-16T00:00:00"/>
    <n v="180652.27"/>
    <s v="Mahbub Alam"/>
    <n v="180652.27"/>
    <n v="0"/>
    <n v="-16"/>
    <x v="0"/>
  </r>
  <r>
    <s v="invoices_2026-08.csv"/>
    <s v="INV-202608-0153"/>
    <s v="C008"/>
    <d v="2026-08-17T00:00:00"/>
    <d v="2026-10-01T00:00:00"/>
    <n v="1184226.1599999999"/>
    <s v="Shirin Sultana"/>
    <n v="1184226.1599999999"/>
    <n v="0"/>
    <n v="-31"/>
    <x v="0"/>
  </r>
  <r>
    <s v="invoices_2026-08.csv"/>
    <s v="INV-202608-0154"/>
    <s v="C046"/>
    <d v="2026-08-17T00:00:00"/>
    <d v="2026-09-16T00:00:00"/>
    <n v="324284.36"/>
    <s v="Mahbub Alam"/>
    <m/>
    <n v="324284.36"/>
    <n v="-16"/>
    <x v="5"/>
  </r>
  <r>
    <s v="invoices_2026-08.csv"/>
    <s v="INV-202608-0155"/>
    <s v="C010"/>
    <d v="2026-08-17T00:00:00"/>
    <d v="2026-09-01T00:00:00"/>
    <n v="61980.55"/>
    <s v="Imran Hossain"/>
    <n v="61980.55"/>
    <n v="0"/>
    <n v="-1"/>
    <x v="0"/>
  </r>
  <r>
    <s v="invoices_2026-08.csv"/>
    <s v="INV-202608-0156"/>
    <s v="C035"/>
    <d v="2026-08-18T00:00:00"/>
    <d v="2026-10-02T00:00:00"/>
    <n v="915557.93"/>
    <s v="Farzana Akter"/>
    <m/>
    <n v="915557.93"/>
    <n v="-32"/>
    <x v="5"/>
  </r>
  <r>
    <s v="invoices_2026-08.csv"/>
    <s v="INV-202608-0157"/>
    <s v="C025"/>
    <d v="2026-08-18T00:00:00"/>
    <d v="2026-10-02T00:00:00"/>
    <n v="21396.51"/>
    <s v="Imran Hossain"/>
    <m/>
    <n v="21396.51"/>
    <n v="-32"/>
    <x v="5"/>
  </r>
  <r>
    <s v="invoices_2026-08.csv"/>
    <s v="INV-202608-0158"/>
    <s v="C048"/>
    <d v="2026-08-18T00:00:00"/>
    <d v="2026-09-17T00:00:00"/>
    <n v="126658.16"/>
    <s v="Imran Hossain"/>
    <n v="21746.17"/>
    <n v="104911.99"/>
    <n v="-17"/>
    <x v="5"/>
  </r>
  <r>
    <s v="invoices_2026-08.csv"/>
    <s v="INV-202608-0159"/>
    <s v="C039"/>
    <d v="2026-08-18T00:00:00"/>
    <d v="2026-09-02T00:00:00"/>
    <n v="50795.46"/>
    <s v="Mahbub Alam"/>
    <m/>
    <n v="50795.46"/>
    <n v="-2"/>
    <x v="5"/>
  </r>
  <r>
    <s v="invoices_2026-08.csv"/>
    <s v="INV-202608-0160"/>
    <s v="C012"/>
    <d v="2026-08-18T00:00:00"/>
    <d v="2026-09-17T00:00:00"/>
    <n v="365726.12"/>
    <s v="Shirin Sultana"/>
    <n v="141714.6"/>
    <n v="224011.51999999999"/>
    <n v="-17"/>
    <x v="5"/>
  </r>
  <r>
    <s v="invoices_2026-08.csv"/>
    <s v="INV-202608-0161"/>
    <s v="C013"/>
    <d v="2026-08-18T00:00:00"/>
    <d v="2026-10-17T00:00:00"/>
    <n v="548932.19999999995"/>
    <s v="Nusrat Jahan"/>
    <n v="548932.19999999995"/>
    <n v="0"/>
    <n v="-47"/>
    <x v="0"/>
  </r>
  <r>
    <s v="invoices_2026-08.csv"/>
    <s v="INV-202608-0162"/>
    <s v="C018"/>
    <d v="2026-08-18T00:00:00"/>
    <d v="2026-09-17T00:00:00"/>
    <n v="146660.59"/>
    <s v="Shirin Sultana"/>
    <n v="59211.05"/>
    <n v="87449.54"/>
    <n v="-17"/>
    <x v="5"/>
  </r>
  <r>
    <s v="invoices_2026-08.csv"/>
    <s v="INV-202608-0163"/>
    <s v="C030"/>
    <d v="2026-08-18T00:00:00"/>
    <d v="2026-09-17T00:00:00"/>
    <n v="26945.18"/>
    <s v="Tanvir Ahmed"/>
    <n v="26945.18"/>
    <n v="0"/>
    <n v="-17"/>
    <x v="0"/>
  </r>
  <r>
    <s v="invoices_2026-08.csv"/>
    <s v="INV-202608-0164"/>
    <s v="C009"/>
    <d v="2026-08-19T00:00:00"/>
    <d v="2026-10-03T00:00:00"/>
    <n v="538592.05000000005"/>
    <s v="Farzana Akter"/>
    <n v="207701.82"/>
    <n v="330890.23"/>
    <n v="-33"/>
    <x v="5"/>
  </r>
  <r>
    <s v="invoices_2026-08.csv"/>
    <s v="INV-202608-0165"/>
    <s v="C013"/>
    <d v="2026-08-19T00:00:00"/>
    <d v="2026-10-18T00:00:00"/>
    <n v="282593.86"/>
    <s v="Nusrat Jahan"/>
    <n v="282593.86"/>
    <n v="0"/>
    <n v="-48"/>
    <x v="0"/>
  </r>
  <r>
    <s v="invoices_2026-08.csv"/>
    <s v="INV-202608-0166"/>
    <s v="C020"/>
    <d v="2026-08-19T00:00:00"/>
    <d v="2026-10-18T00:00:00"/>
    <n v="319297.96000000002"/>
    <s v="Nusrat Jahan"/>
    <m/>
    <n v="319297.96000000002"/>
    <n v="-48"/>
    <x v="5"/>
  </r>
  <r>
    <s v="invoices_2026-08.csv"/>
    <s v="INV-202608-0167"/>
    <s v="C010"/>
    <d v="2026-08-19T00:00:00"/>
    <d v="2026-09-03T00:00:00"/>
    <n v="7754.04"/>
    <s v="Imran Hossain"/>
    <n v="7754.04"/>
    <n v="0"/>
    <n v="-3"/>
    <x v="0"/>
  </r>
  <r>
    <s v="invoices_2026-08.csv"/>
    <s v="INV-202608-0168"/>
    <s v="C012"/>
    <d v="2026-08-19T00:00:00"/>
    <d v="2026-09-18T00:00:00"/>
    <n v="83692.160000000003"/>
    <s v="Shirin Sultana"/>
    <m/>
    <n v="83692.160000000003"/>
    <n v="-18"/>
    <x v="5"/>
  </r>
  <r>
    <s v="invoices_2026-08.csv"/>
    <s v="INV-202608-0169"/>
    <s v="C020"/>
    <d v="2026-08-19T00:00:00"/>
    <d v="2026-10-18T00:00:00"/>
    <n v="976743.92"/>
    <s v="Nusrat Jahan"/>
    <m/>
    <n v="976743.92"/>
    <n v="-48"/>
    <x v="5"/>
  </r>
  <r>
    <s v="invoices_2026-08.csv"/>
    <s v="INV-202608-0170"/>
    <s v="C007"/>
    <d v="2026-08-19T00:00:00"/>
    <d v="2026-09-18T00:00:00"/>
    <n v="209640.64"/>
    <s v="Mahbub Alam"/>
    <n v="209640.64"/>
    <n v="0"/>
    <n v="-18"/>
    <x v="0"/>
  </r>
  <r>
    <s v="invoices_2026-08.csv"/>
    <s v="INV-202608-0171"/>
    <s v="C044"/>
    <d v="2026-08-20T00:00:00"/>
    <d v="2026-09-19T00:00:00"/>
    <n v="302905.75"/>
    <s v="Mahbub Alam"/>
    <m/>
    <n v="302905.75"/>
    <n v="-19"/>
    <x v="5"/>
  </r>
  <r>
    <s v="invoices_2026-08.csv"/>
    <s v="INV-202608-0172"/>
    <s v="C038"/>
    <d v="2026-08-20T00:00:00"/>
    <d v="2026-10-19T00:00:00"/>
    <n v="60533.11"/>
    <s v="Imran Hossain"/>
    <m/>
    <n v="60533.11"/>
    <n v="-49"/>
    <x v="5"/>
  </r>
  <r>
    <s v="invoices_2026-08.csv"/>
    <s v="INV-202608-0173"/>
    <s v="C007"/>
    <d v="2026-08-20T00:00:00"/>
    <d v="2026-09-19T00:00:00"/>
    <n v="522813.42"/>
    <s v="Mahbub Alam"/>
    <m/>
    <n v="522813.42"/>
    <n v="-19"/>
    <x v="5"/>
  </r>
  <r>
    <s v="invoices_2026-08.csv"/>
    <s v="INV-202608-0174"/>
    <s v="C029"/>
    <d v="2026-08-20T00:00:00"/>
    <d v="2026-09-19T00:00:00"/>
    <n v="69560.08"/>
    <s v="Farzana Akter"/>
    <n v="69560.08"/>
    <n v="0"/>
    <n v="-19"/>
    <x v="0"/>
  </r>
  <r>
    <s v="invoices_2026-08.csv"/>
    <s v="INV-202608-0175"/>
    <s v="C007"/>
    <d v="2026-08-20T00:00:00"/>
    <d v="2026-09-19T00:00:00"/>
    <n v="318569.56"/>
    <s v="Mahbub Alam"/>
    <m/>
    <n v="318569.56"/>
    <n v="-19"/>
    <x v="5"/>
  </r>
  <r>
    <s v="invoices_2026-08.csv"/>
    <s v="INV-202608-0176"/>
    <s v="C001"/>
    <d v="2026-08-20T00:00:00"/>
    <d v="2026-09-04T00:00:00"/>
    <n v="78395.87"/>
    <s v="Nusrat Jahan"/>
    <n v="78395.87"/>
    <n v="0"/>
    <n v="-4"/>
    <x v="0"/>
  </r>
  <r>
    <s v="invoices_2026-08.csv"/>
    <s v="INV-202608-0177"/>
    <s v="C045"/>
    <d v="2026-08-21T00:00:00"/>
    <d v="2026-09-05T00:00:00"/>
    <n v="18020.73"/>
    <s v="Mahbub Alam"/>
    <m/>
    <n v="18020.73"/>
    <n v="-5"/>
    <x v="5"/>
  </r>
  <r>
    <s v="invoices_2026-08.csv"/>
    <s v="INV-202608-0178"/>
    <s v="C005"/>
    <d v="2026-08-21T00:00:00"/>
    <d v="2026-09-20T00:00:00"/>
    <n v="296137.24"/>
    <s v="Mahbub Alam"/>
    <m/>
    <n v="296137.24"/>
    <n v="-20"/>
    <x v="5"/>
  </r>
  <r>
    <s v="invoices_2026-08.csv"/>
    <s v="INV-202608-0179"/>
    <s v="C026"/>
    <d v="2026-08-21T00:00:00"/>
    <d v="2026-09-20T00:00:00"/>
    <n v="829886.63"/>
    <s v="Nusrat Jahan"/>
    <m/>
    <n v="829886.63"/>
    <n v="-20"/>
    <x v="5"/>
  </r>
  <r>
    <s v="invoices_2026-08.csv"/>
    <s v="INV-202608-0180"/>
    <s v="C027"/>
    <d v="2026-08-21T00:00:00"/>
    <d v="2026-09-05T00:00:00"/>
    <n v="95350.19"/>
    <s v="Imran Hossain"/>
    <n v="95350.19"/>
    <n v="0"/>
    <n v="-5"/>
    <x v="0"/>
  </r>
  <r>
    <s v="invoices_2026-08.csv"/>
    <s v="INV-202608-0181"/>
    <s v="C044"/>
    <d v="2026-08-21T00:00:00"/>
    <d v="2026-09-20T00:00:00"/>
    <n v="434278.14"/>
    <s v="Mahbub Alam"/>
    <m/>
    <n v="434278.14"/>
    <n v="-20"/>
    <x v="5"/>
  </r>
  <r>
    <s v="invoices_2026-08.csv"/>
    <s v="INV-202608-0182"/>
    <s v="C033"/>
    <d v="2026-08-21T00:00:00"/>
    <d v="2026-09-20T00:00:00"/>
    <n v="2000000"/>
    <s v="Nusrat Jahan"/>
    <m/>
    <n v="2000000"/>
    <n v="-20"/>
    <x v="5"/>
  </r>
  <r>
    <s v="invoices_2026-08.csv"/>
    <s v="INV-202608-0183"/>
    <s v="C006"/>
    <d v="2026-08-21T00:00:00"/>
    <d v="2026-10-05T00:00:00"/>
    <n v="381247.75"/>
    <s v="Nusrat Jahan"/>
    <m/>
    <n v="381247.75"/>
    <n v="-35"/>
    <x v="5"/>
  </r>
  <r>
    <s v="invoices_2026-08.csv"/>
    <s v="INV-202608-0184"/>
    <s v="C005"/>
    <d v="2026-08-21T00:00:00"/>
    <d v="2026-09-20T00:00:00"/>
    <n v="190618.9"/>
    <s v="Mahbub Alam"/>
    <m/>
    <n v="190618.9"/>
    <n v="-20"/>
    <x v="5"/>
  </r>
  <r>
    <s v="invoices_2026-08.csv"/>
    <s v="INV-202608-0185"/>
    <s v="C005"/>
    <d v="2026-08-21T00:00:00"/>
    <d v="2026-09-20T00:00:00"/>
    <n v="60917.120000000003"/>
    <s v="Mahbub Alam"/>
    <m/>
    <n v="60917.120000000003"/>
    <n v="-20"/>
    <x v="5"/>
  </r>
  <r>
    <s v="invoices_2026-08.csv"/>
    <s v="INV-202608-0186"/>
    <s v="C030"/>
    <d v="2026-08-21T00:00:00"/>
    <d v="2026-09-20T00:00:00"/>
    <n v="31917.1"/>
    <s v="Tanvir Ahmed"/>
    <m/>
    <n v="31917.1"/>
    <n v="-20"/>
    <x v="5"/>
  </r>
  <r>
    <s v="invoices_2026-08.csv"/>
    <s v="INV-202608-0187"/>
    <s v="C025"/>
    <d v="2026-08-21T00:00:00"/>
    <d v="2026-10-05T00:00:00"/>
    <n v="542752.30000000005"/>
    <s v="Imran Hossain"/>
    <m/>
    <n v="542752.30000000005"/>
    <n v="-35"/>
    <x v="5"/>
  </r>
  <r>
    <s v="invoices_2026-08.csv"/>
    <s v="INV-202608-0188"/>
    <s v="C044"/>
    <d v="2026-08-21T00:00:00"/>
    <d v="2026-09-20T00:00:00"/>
    <n v="1927982"/>
    <s v="Mahbub Alam"/>
    <m/>
    <n v="1927982"/>
    <n v="-20"/>
    <x v="5"/>
  </r>
  <r>
    <s v="invoices_2026-08.csv"/>
    <s v="INV-202608-0189"/>
    <s v="C001"/>
    <d v="2026-08-21T00:00:00"/>
    <d v="2026-09-05T00:00:00"/>
    <n v="142559.67999999999"/>
    <s v="Nusrat Jahan"/>
    <n v="142559.67999999999"/>
    <n v="0"/>
    <n v="-5"/>
    <x v="0"/>
  </r>
  <r>
    <s v="invoices_2026-08.csv"/>
    <s v="INV-202608-0190"/>
    <s v="C026"/>
    <d v="2026-08-21T00:00:00"/>
    <d v="2026-09-20T00:00:00"/>
    <n v="801194.66"/>
    <s v="Nusrat Jahan"/>
    <n v="669562.4"/>
    <n v="131632.26"/>
    <n v="-20"/>
    <x v="5"/>
  </r>
  <r>
    <s v="invoices_2026-08.csv"/>
    <s v="INV-202608-0191"/>
    <s v="C032"/>
    <d v="2026-08-21T00:00:00"/>
    <d v="2026-10-05T00:00:00"/>
    <n v="115271.94"/>
    <s v="Shirin Sultana"/>
    <m/>
    <n v="115271.94"/>
    <n v="-35"/>
    <x v="5"/>
  </r>
  <r>
    <s v="invoices_2026-08.csv"/>
    <s v="INV-202608-0192"/>
    <s v="C007"/>
    <d v="2026-08-21T00:00:00"/>
    <d v="2026-09-20T00:00:00"/>
    <n v="603638.18000000005"/>
    <s v="Mahbub Alam"/>
    <n v="603638.18000000005"/>
    <n v="0"/>
    <n v="-20"/>
    <x v="0"/>
  </r>
  <r>
    <s v="invoices_2026-08.csv"/>
    <s v="INV-202608-0193"/>
    <s v="C026"/>
    <d v="2026-08-21T00:00:00"/>
    <d v="2026-09-20T00:00:00"/>
    <n v="116843.92"/>
    <s v="Nusrat Jahan"/>
    <n v="15683.88"/>
    <n v="101160.04"/>
    <n v="-20"/>
    <x v="5"/>
  </r>
  <r>
    <s v="invoices_2026-08.csv"/>
    <s v="INV-202608-0194"/>
    <s v="C009"/>
    <d v="2026-08-21T00:00:00"/>
    <d v="2026-10-05T00:00:00"/>
    <n v="92487.51"/>
    <s v="Farzana Akter"/>
    <m/>
    <n v="92487.51"/>
    <n v="-35"/>
    <x v="5"/>
  </r>
  <r>
    <s v="invoices_2026-08.csv"/>
    <s v="INV-202608-0195"/>
    <s v="C009"/>
    <d v="2026-08-21T00:00:00"/>
    <d v="2026-10-05T00:00:00"/>
    <n v="476931.08"/>
    <s v="Farzana Akter"/>
    <m/>
    <n v="476931.08"/>
    <n v="-35"/>
    <x v="5"/>
  </r>
  <r>
    <s v="invoices_2026-08.csv"/>
    <s v="INV-202608-0196"/>
    <s v="C013"/>
    <d v="2026-08-21T00:00:00"/>
    <d v="2026-10-20T00:00:00"/>
    <n v="624662.02"/>
    <s v="Nusrat Jahan"/>
    <m/>
    <n v="624662.02"/>
    <n v="-50"/>
    <x v="5"/>
  </r>
  <r>
    <s v="invoices_2026-08.csv"/>
    <s v="INV-202608-0197"/>
    <s v="C020"/>
    <d v="2026-08-21T00:00:00"/>
    <d v="2026-10-20T00:00:00"/>
    <n v="330250.23999999999"/>
    <s v="Nusrat Jahan"/>
    <m/>
    <n v="330250.23999999999"/>
    <n v="-50"/>
    <x v="5"/>
  </r>
  <r>
    <s v="invoices_2026-08.csv"/>
    <s v="INV-202608-0198"/>
    <s v="C029"/>
    <d v="2026-08-22T00:00:00"/>
    <d v="2026-09-21T00:00:00"/>
    <n v="224510.36"/>
    <s v="Farzana Akter"/>
    <m/>
    <n v="224510.36"/>
    <n v="-21"/>
    <x v="5"/>
  </r>
  <r>
    <s v="invoices_2026-08.csv"/>
    <s v="INV-202608-0199"/>
    <s v="C013"/>
    <d v="2026-08-22T00:00:00"/>
    <d v="2026-10-21T00:00:00"/>
    <n v="629658.71"/>
    <s v="Nusrat Jahan"/>
    <m/>
    <n v="629658.71"/>
    <n v="-51"/>
    <x v="5"/>
  </r>
  <r>
    <s v="invoices_2026-08.csv"/>
    <s v="INV-202608-0200"/>
    <s v="C028"/>
    <d v="2026-08-22T00:00:00"/>
    <d v="2026-10-21T00:00:00"/>
    <n v="149119.99"/>
    <s v="Shirin Sultana"/>
    <n v="149119.99"/>
    <n v="0"/>
    <n v="-51"/>
    <x v="0"/>
  </r>
  <r>
    <s v="invoices_2026-08.csv"/>
    <s v="INV-202608-0201"/>
    <s v="C003"/>
    <d v="2026-08-22T00:00:00"/>
    <d v="2026-09-21T00:00:00"/>
    <n v="31677.93"/>
    <s v="Mahbub Alam"/>
    <m/>
    <n v="31677.93"/>
    <n v="-21"/>
    <x v="5"/>
  </r>
  <r>
    <s v="invoices_2026-08.csv"/>
    <s v="INV-202608-0202"/>
    <s v="C007"/>
    <d v="2026-08-22T00:00:00"/>
    <d v="2026-09-21T00:00:00"/>
    <n v="90777.4"/>
    <s v="Mahbub Alam"/>
    <m/>
    <n v="90777.4"/>
    <n v="-21"/>
    <x v="5"/>
  </r>
  <r>
    <s v="invoices_2026-08.csv"/>
    <s v="INV-202608-0203"/>
    <s v="C034"/>
    <d v="2026-08-22T00:00:00"/>
    <d v="2026-09-06T00:00:00"/>
    <n v="5218.17"/>
    <s v="Nusrat Jahan"/>
    <m/>
    <n v="5218.17"/>
    <n v="-6"/>
    <x v="5"/>
  </r>
  <r>
    <s v="invoices_2026-08.csv"/>
    <s v="INV-202608-0204"/>
    <s v="C012"/>
    <d v="2026-08-22T00:00:00"/>
    <d v="2026-09-21T00:00:00"/>
    <n v="282945.13"/>
    <s v="Shirin Sultana"/>
    <m/>
    <n v="282945.13"/>
    <n v="-21"/>
    <x v="5"/>
  </r>
  <r>
    <s v="invoices_2026-08.csv"/>
    <s v="INV-202608-0205"/>
    <s v="C041"/>
    <d v="2026-08-22T00:00:00"/>
    <d v="2026-09-21T00:00:00"/>
    <n v="17113.71"/>
    <s v="Tanvir Ahmed"/>
    <m/>
    <n v="17113.71"/>
    <n v="-21"/>
    <x v="5"/>
  </r>
  <r>
    <s v="invoices_2026-08.csv"/>
    <s v="INV-202608-0206"/>
    <s v="C043"/>
    <d v="2026-08-22T00:00:00"/>
    <d v="2026-09-21T00:00:00"/>
    <n v="80175.789999999994"/>
    <s v="Shirin Sultana"/>
    <m/>
    <n v="80175.789999999994"/>
    <n v="-21"/>
    <x v="5"/>
  </r>
  <r>
    <s v="invoices_2026-08.csv"/>
    <s v="INV-202608-0207"/>
    <s v="C033"/>
    <d v="2026-08-22T00:00:00"/>
    <d v="2026-09-21T00:00:00"/>
    <n v="401245.16"/>
    <s v="Nusrat Jahan"/>
    <m/>
    <n v="401245.16"/>
    <n v="-21"/>
    <x v="5"/>
  </r>
  <r>
    <s v="invoices_2026-08.csv"/>
    <s v="INV-202608-0208"/>
    <s v="C002"/>
    <d v="2026-08-22T00:00:00"/>
    <d v="2026-10-06T00:00:00"/>
    <n v="77733.86"/>
    <s v="Tanvir Ahmed"/>
    <m/>
    <n v="77733.86"/>
    <n v="-36"/>
    <x v="5"/>
  </r>
  <r>
    <s v="invoices_2026-08.csv"/>
    <s v="INV-202608-0209"/>
    <s v="C007"/>
    <d v="2026-08-22T00:00:00"/>
    <d v="2026-09-21T00:00:00"/>
    <n v="665785"/>
    <s v="Mahbub Alam"/>
    <m/>
    <n v="665785"/>
    <n v="-21"/>
    <x v="5"/>
  </r>
  <r>
    <s v="invoices_2026-08.csv"/>
    <s v="INV-202608-0210"/>
    <s v="C044"/>
    <d v="2026-08-23T00:00:00"/>
    <d v="2026-09-22T00:00:00"/>
    <n v="202770.01"/>
    <s v="Mahbub Alam"/>
    <m/>
    <n v="202770.01"/>
    <n v="-22"/>
    <x v="5"/>
  </r>
  <r>
    <s v="invoices_2026-08.csv"/>
    <s v="INV-202608-0211"/>
    <s v="C024"/>
    <d v="2026-08-23T00:00:00"/>
    <d v="2026-09-22T00:00:00"/>
    <n v="6060.32"/>
    <s v="Farzana Akter"/>
    <m/>
    <n v="6060.32"/>
    <n v="-22"/>
    <x v="5"/>
  </r>
  <r>
    <s v="invoices_2026-08.csv"/>
    <s v="INV-202608-0212"/>
    <s v="C019"/>
    <d v="2026-08-23T00:00:00"/>
    <d v="2026-10-22T00:00:00"/>
    <n v="157399.37"/>
    <s v="Tanvir Ahmed"/>
    <m/>
    <n v="157399.37"/>
    <n v="-52"/>
    <x v="5"/>
  </r>
  <r>
    <s v="invoices_2026-08.csv"/>
    <s v="INV-202608-0213"/>
    <s v="C072"/>
    <d v="2026-08-23T00:00:00"/>
    <d v="2026-09-22T00:00:00"/>
    <n v="89506.59"/>
    <s v="Shirin Sultana"/>
    <m/>
    <n v="89506.59"/>
    <n v="-22"/>
    <x v="5"/>
  </r>
  <r>
    <s v="invoices_2026-08.csv"/>
    <s v="INV-202608-0214"/>
    <s v="C015"/>
    <d v="2026-08-23T00:00:00"/>
    <d v="2026-09-22T00:00:00"/>
    <n v="23040.73"/>
    <s v="Nusrat Jahan"/>
    <m/>
    <n v="23040.73"/>
    <n v="-22"/>
    <x v="5"/>
  </r>
  <r>
    <s v="invoices_2026-08.csv"/>
    <s v="INV-202608-0215"/>
    <s v="C013"/>
    <d v="2026-08-23T00:00:00"/>
    <d v="2026-10-22T00:00:00"/>
    <n v="2000000"/>
    <s v="Nusrat Jahan"/>
    <m/>
    <n v="2000000"/>
    <n v="-52"/>
    <x v="5"/>
  </r>
  <r>
    <s v="invoices_2026-08.csv"/>
    <s v="INV-202608-0216"/>
    <s v="C005"/>
    <d v="2026-08-23T00:00:00"/>
    <d v="2026-09-22T00:00:00"/>
    <n v="32854.160000000003"/>
    <s v="Mahbub Alam"/>
    <m/>
    <n v="32854.160000000003"/>
    <n v="-22"/>
    <x v="5"/>
  </r>
  <r>
    <s v="invoices_2026-08.csv"/>
    <s v="INV-202608-0217"/>
    <s v="C028"/>
    <d v="2026-08-23T00:00:00"/>
    <d v="2026-10-22T00:00:00"/>
    <n v="546699.25"/>
    <s v="Shirin Sultana"/>
    <m/>
    <n v="546699.25"/>
    <n v="-52"/>
    <x v="5"/>
  </r>
  <r>
    <s v="invoices_2026-08.csv"/>
    <s v="INV-202608-0218"/>
    <s v="C022"/>
    <d v="2026-08-24T00:00:00"/>
    <d v="2026-09-08T00:00:00"/>
    <n v="13602.88"/>
    <s v="Mahbub Alam"/>
    <m/>
    <n v="13602.88"/>
    <n v="-8"/>
    <x v="5"/>
  </r>
  <r>
    <s v="invoices_2026-08.csv"/>
    <s v="INV-202608-0219"/>
    <s v="C019"/>
    <d v="2026-08-24T00:00:00"/>
    <d v="2026-10-23T00:00:00"/>
    <n v="331786.19"/>
    <s v="Tanvir Ahmed"/>
    <m/>
    <n v="331786.19"/>
    <n v="-53"/>
    <x v="5"/>
  </r>
  <r>
    <s v="invoices_2026-08.csv"/>
    <s v="INV-202608-0220"/>
    <s v="C018"/>
    <d v="2026-08-24T00:00:00"/>
    <d v="2026-09-23T00:00:00"/>
    <n v="185889.44"/>
    <s v="Shirin Sultana"/>
    <m/>
    <n v="185889.44"/>
    <n v="-23"/>
    <x v="5"/>
  </r>
  <r>
    <s v="invoices_2026-08.csv"/>
    <s v="INV-202608-0221"/>
    <s v="C014"/>
    <d v="2026-08-24T00:00:00"/>
    <d v="2026-10-23T00:00:00"/>
    <n v="200741.81"/>
    <s v="Nusrat Jahan"/>
    <m/>
    <n v="200741.81"/>
    <n v="-53"/>
    <x v="5"/>
  </r>
  <r>
    <s v="invoices_2026-08.csv"/>
    <s v="INV-202608-0222"/>
    <s v="C026"/>
    <d v="2026-08-24T00:00:00"/>
    <d v="2026-09-23T00:00:00"/>
    <n v="154860.72"/>
    <s v="Nusrat Jahan"/>
    <m/>
    <n v="154860.72"/>
    <n v="-23"/>
    <x v="5"/>
  </r>
  <r>
    <s v="invoices_2026-08.csv"/>
    <s v="INV-202608-0223"/>
    <s v="C017"/>
    <d v="2026-08-24T00:00:00"/>
    <d v="2026-09-08T00:00:00"/>
    <n v="16912.27"/>
    <s v="Tanvir Ahmed"/>
    <n v="16912.27"/>
    <n v="0"/>
    <n v="-8"/>
    <x v="0"/>
  </r>
  <r>
    <s v="invoices_2026-08.csv"/>
    <s v="INV-202608-0224"/>
    <s v="C020"/>
    <d v="2026-08-24T00:00:00"/>
    <d v="2026-10-23T00:00:00"/>
    <n v="337825.81"/>
    <s v="Nusrat Jahan"/>
    <m/>
    <n v="337825.81"/>
    <n v="-53"/>
    <x v="5"/>
  </r>
  <r>
    <s v="invoices_2026-08.csv"/>
    <s v="INV-202608-0225"/>
    <s v="C014"/>
    <d v="2026-08-24T00:00:00"/>
    <d v="2026-10-23T00:00:00"/>
    <n v="752875.79"/>
    <s v="Nusrat Jahan"/>
    <m/>
    <n v="752875.79"/>
    <n v="-53"/>
    <x v="5"/>
  </r>
  <r>
    <s v="invoices_2026-08.csv"/>
    <s v="INV-202608-0226"/>
    <s v="C010"/>
    <d v="2026-08-24T00:00:00"/>
    <d v="2026-09-08T00:00:00"/>
    <n v="55237.41"/>
    <s v="Imran Hossain"/>
    <n v="24177.89"/>
    <n v="31059.52"/>
    <n v="-8"/>
    <x v="5"/>
  </r>
  <r>
    <s v="invoices_2026-08.csv"/>
    <s v="INV-202608-0227"/>
    <s v="C049"/>
    <d v="2026-08-24T00:00:00"/>
    <d v="2026-09-08T00:00:00"/>
    <n v="14921.43"/>
    <s v="Farzana Akter"/>
    <m/>
    <n v="14921.43"/>
    <n v="-8"/>
    <x v="5"/>
  </r>
  <r>
    <s v="invoices_2026-08.csv"/>
    <s v="INV-202608-0228"/>
    <s v="C034"/>
    <d v="2026-08-24T00:00:00"/>
    <d v="2026-09-08T00:00:00"/>
    <n v="48295.56"/>
    <s v="Nusrat Jahan"/>
    <m/>
    <n v="48295.56"/>
    <n v="-8"/>
    <x v="5"/>
  </r>
  <r>
    <s v="invoices_2026-08.csv"/>
    <s v="INV-202608-0229"/>
    <s v="C014"/>
    <d v="2026-08-24T00:00:00"/>
    <d v="2026-10-23T00:00:00"/>
    <n v="1404927.34"/>
    <s v="Nusrat Jahan"/>
    <m/>
    <n v="1404927.34"/>
    <n v="-53"/>
    <x v="5"/>
  </r>
  <r>
    <s v="invoices_2026-08.csv"/>
    <s v="INV-202608-0230"/>
    <s v="C013"/>
    <d v="2026-08-24T00:00:00"/>
    <d v="2026-10-23T00:00:00"/>
    <n v="418833.27"/>
    <s v="Nusrat Jahan"/>
    <n v="56904.68"/>
    <n v="361928.59"/>
    <n v="-53"/>
    <x v="5"/>
  </r>
  <r>
    <s v="invoices_2026-08.csv"/>
    <s v="INV-202608-0231"/>
    <s v="C044"/>
    <d v="2026-08-24T00:00:00"/>
    <d v="2026-09-23T00:00:00"/>
    <n v="1523735.35"/>
    <s v="Mahbub Alam"/>
    <m/>
    <n v="1523735.35"/>
    <n v="-23"/>
    <x v="5"/>
  </r>
  <r>
    <s v="invoices_2026-08.csv"/>
    <s v="INV-202608-0232"/>
    <s v="C007"/>
    <d v="2026-08-24T00:00:00"/>
    <d v="2026-09-23T00:00:00"/>
    <n v="188078.3"/>
    <s v="Mahbub Alam"/>
    <n v="86145.56"/>
    <n v="101932.74"/>
    <n v="-23"/>
    <x v="5"/>
  </r>
  <r>
    <s v="invoices_2026-08.csv"/>
    <s v="INV-202608-0233"/>
    <s v="C026"/>
    <d v="2026-08-25T00:00:00"/>
    <d v="2026-09-24T00:00:00"/>
    <n v="365106.65"/>
    <s v="Nusrat Jahan"/>
    <m/>
    <n v="365106.65"/>
    <n v="-24"/>
    <x v="5"/>
  </r>
  <r>
    <s v="invoices_2026-08.csv"/>
    <s v="INV-202608-0234"/>
    <s v="C007"/>
    <d v="2026-08-25T00:00:00"/>
    <d v="2026-09-24T00:00:00"/>
    <n v="684547.61"/>
    <s v="Mahbub Alam"/>
    <m/>
    <n v="684547.61"/>
    <n v="-24"/>
    <x v="5"/>
  </r>
  <r>
    <s v="invoices_2026-08.csv"/>
    <s v="INV-202608-0235"/>
    <s v="C014"/>
    <d v="2026-08-25T00:00:00"/>
    <d v="2026-10-24T00:00:00"/>
    <n v="204200.9"/>
    <s v="Nusrat Jahan"/>
    <m/>
    <n v="204200.9"/>
    <n v="-54"/>
    <x v="5"/>
  </r>
  <r>
    <s v="invoices_2026-08.csv"/>
    <s v="INV-202608-0236"/>
    <s v="C024"/>
    <d v="2026-08-25T00:00:00"/>
    <d v="2026-09-24T00:00:00"/>
    <n v="16899.41"/>
    <s v="Farzana Akter"/>
    <m/>
    <n v="16899.41"/>
    <n v="-24"/>
    <x v="5"/>
  </r>
  <r>
    <s v="invoices_2026-08.csv"/>
    <s v="INV-202608-0237"/>
    <s v="C046"/>
    <d v="2026-08-25T00:00:00"/>
    <d v="2026-09-24T00:00:00"/>
    <n v="64883.99"/>
    <s v="Mahbub Alam"/>
    <m/>
    <n v="64883.99"/>
    <n v="-24"/>
    <x v="5"/>
  </r>
  <r>
    <s v="invoices_2026-08.csv"/>
    <s v="INV-202608-0238"/>
    <s v="C005"/>
    <d v="2026-08-25T00:00:00"/>
    <d v="2026-09-24T00:00:00"/>
    <n v="357992.7"/>
    <s v="Mahbub Alam"/>
    <m/>
    <n v="357992.7"/>
    <n v="-24"/>
    <x v="5"/>
  </r>
  <r>
    <s v="invoices_2026-08.csv"/>
    <s v="INV-202608-0239"/>
    <s v="C020"/>
    <d v="2026-08-26T00:00:00"/>
    <d v="2026-10-25T00:00:00"/>
    <n v="434247.95"/>
    <s v="Nusrat Jahan"/>
    <m/>
    <n v="434247.95"/>
    <n v="-55"/>
    <x v="5"/>
  </r>
  <r>
    <s v="invoices_2026-08.csv"/>
    <s v="INV-202608-0240"/>
    <s v="C021"/>
    <d v="2026-08-26T00:00:00"/>
    <d v="2026-09-25T00:00:00"/>
    <n v="588854.31000000006"/>
    <s v="Mahbub Alam"/>
    <m/>
    <n v="588854.31000000006"/>
    <n v="-25"/>
    <x v="5"/>
  </r>
  <r>
    <s v="invoices_2026-08.csv"/>
    <s v="INV-202608-0241"/>
    <s v="C012"/>
    <d v="2026-08-26T00:00:00"/>
    <d v="2026-09-25T00:00:00"/>
    <n v="776950.3"/>
    <s v="Shirin Sultana"/>
    <m/>
    <n v="776950.3"/>
    <n v="-25"/>
    <x v="5"/>
  </r>
  <r>
    <s v="invoices_2026-08.csv"/>
    <s v="INV-202608-0242"/>
    <s v="C020"/>
    <d v="2026-08-26T00:00:00"/>
    <d v="2026-10-25T00:00:00"/>
    <n v="159099.67000000001"/>
    <s v="Nusrat Jahan"/>
    <m/>
    <n v="159099.67000000001"/>
    <n v="-55"/>
    <x v="5"/>
  </r>
  <r>
    <s v="invoices_2026-08.csv"/>
    <s v="INV-202608-0243"/>
    <s v="C007"/>
    <d v="2026-08-26T00:00:00"/>
    <d v="2026-09-25T00:00:00"/>
    <n v="282741.19"/>
    <s v="Mahbub Alam"/>
    <m/>
    <n v="282741.19"/>
    <n v="-25"/>
    <x v="5"/>
  </r>
  <r>
    <s v="invoices_2026-08.csv"/>
    <s v="INV-202608-0244"/>
    <s v="C007"/>
    <d v="2026-08-26T00:00:00"/>
    <d v="2026-09-25T00:00:00"/>
    <n v="1371434.63"/>
    <s v="Mahbub Alam"/>
    <m/>
    <n v="1371434.63"/>
    <n v="-25"/>
    <x v="5"/>
  </r>
  <r>
    <s v="invoices_2026-08.csv"/>
    <s v="INV-202608-0245"/>
    <s v="C033"/>
    <d v="2026-08-27T00:00:00"/>
    <d v="2026-09-26T00:00:00"/>
    <n v="275629.68"/>
    <s v="Nusrat Jahan"/>
    <m/>
    <n v="275629.68"/>
    <n v="-26"/>
    <x v="5"/>
  </r>
  <r>
    <s v="invoices_2026-08.csv"/>
    <s v="INV-202608-0246"/>
    <s v="C046"/>
    <d v="2026-08-27T00:00:00"/>
    <d v="2026-09-26T00:00:00"/>
    <n v="55053.75"/>
    <s v="Mahbub Alam"/>
    <m/>
    <n v="55053.75"/>
    <n v="-26"/>
    <x v="5"/>
  </r>
  <r>
    <s v="invoices_2026-08.csv"/>
    <s v="INV-202608-0247"/>
    <s v="C012"/>
    <d v="2026-08-27T00:00:00"/>
    <d v="2026-09-26T00:00:00"/>
    <n v="52440.99"/>
    <s v="Shirin Sultana"/>
    <m/>
    <n v="52440.99"/>
    <n v="-26"/>
    <x v="5"/>
  </r>
  <r>
    <s v="invoices_2026-08.csv"/>
    <s v="INV-202608-0248"/>
    <s v="C033"/>
    <d v="2026-08-27T00:00:00"/>
    <d v="2026-09-26T00:00:00"/>
    <n v="223402.73"/>
    <s v="Nusrat Jahan"/>
    <m/>
    <n v="223402.73"/>
    <n v="-26"/>
    <x v="5"/>
  </r>
  <r>
    <s v="invoices_2026-08.csv"/>
    <s v="INV-202608-0249"/>
    <s v="C004"/>
    <d v="2026-08-27T00:00:00"/>
    <d v="2026-10-11T00:00:00"/>
    <n v="321102.48"/>
    <s v="Nusrat Jahan"/>
    <m/>
    <n v="321102.48"/>
    <n v="-41"/>
    <x v="5"/>
  </r>
  <r>
    <s v="invoices_2026-08.csv"/>
    <s v="INV-202608-0250"/>
    <s v="C020"/>
    <d v="2026-08-27T00:00:00"/>
    <d v="2026-10-26T00:00:00"/>
    <n v="136528.57999999999"/>
    <s v="Nusrat Jahan"/>
    <m/>
    <n v="136528.57999999999"/>
    <n v="-56"/>
    <x v="5"/>
  </r>
  <r>
    <s v="invoices_2026-08.csv"/>
    <s v="INV-202608-0251"/>
    <s v="C009"/>
    <d v="2026-08-27T00:00:00"/>
    <d v="2026-10-11T00:00:00"/>
    <n v="1052662.5"/>
    <s v="Farzana Akter"/>
    <m/>
    <n v="1052662.5"/>
    <n v="-41"/>
    <x v="5"/>
  </r>
  <r>
    <s v="invoices_2026-08.csv"/>
    <s v="INV-202608-0252"/>
    <s v="C012"/>
    <d v="2026-08-27T00:00:00"/>
    <d v="2026-09-26T00:00:00"/>
    <n v="287932.96999999997"/>
    <s v="Shirin Sultana"/>
    <m/>
    <n v="287932.96999999997"/>
    <n v="-26"/>
    <x v="5"/>
  </r>
  <r>
    <s v="invoices_2026-08.csv"/>
    <s v="INV-202608-0253"/>
    <s v="C014"/>
    <d v="2026-08-27T00:00:00"/>
    <d v="2026-10-26T00:00:00"/>
    <n v="495229.86"/>
    <s v="Nusrat Jahan"/>
    <m/>
    <n v="495229.86"/>
    <n v="-56"/>
    <x v="5"/>
  </r>
  <r>
    <s v="invoices_2026-08.csv"/>
    <s v="INV-202608-0254"/>
    <s v="C037"/>
    <d v="2026-08-27T00:00:00"/>
    <d v="2026-09-11T00:00:00"/>
    <n v="5586.7"/>
    <s v="Tanvir Ahmed"/>
    <m/>
    <n v="5586.7"/>
    <n v="-11"/>
    <x v="5"/>
  </r>
  <r>
    <s v="invoices_2026-08.csv"/>
    <s v="INV-202608-0255"/>
    <s v="C041"/>
    <d v="2026-08-27T00:00:00"/>
    <d v="2026-09-26T00:00:00"/>
    <n v="44526.12"/>
    <s v="Tanvir Ahmed"/>
    <m/>
    <n v="44526.12"/>
    <n v="-26"/>
    <x v="5"/>
  </r>
  <r>
    <s v="invoices_2026-08.csv"/>
    <s v="INV-202608-0256"/>
    <s v="C007"/>
    <d v="2026-08-27T00:00:00"/>
    <d v="2026-09-26T00:00:00"/>
    <n v="735187.34"/>
    <s v="Mahbub Alam"/>
    <m/>
    <n v="735187.34"/>
    <n v="-26"/>
    <x v="5"/>
  </r>
  <r>
    <s v="invoices_2026-08.csv"/>
    <s v="INV-202608-0257"/>
    <s v="C019"/>
    <d v="2026-08-27T00:00:00"/>
    <d v="2026-10-26T00:00:00"/>
    <n v="32831.42"/>
    <s v="Tanvir Ahmed"/>
    <m/>
    <n v="32831.42"/>
    <n v="-56"/>
    <x v="5"/>
  </r>
  <r>
    <s v="invoices_2026-08.csv"/>
    <s v="INV-202608-0258"/>
    <s v="C022"/>
    <d v="2026-08-27T00:00:00"/>
    <d v="2026-09-11T00:00:00"/>
    <n v="18787.599999999999"/>
    <s v="Mahbub Alam"/>
    <m/>
    <n v="18787.599999999999"/>
    <n v="-11"/>
    <x v="5"/>
  </r>
  <r>
    <s v="invoices_2026-08.csv"/>
    <s v="INV-202608-0259"/>
    <s v="C018"/>
    <d v="2026-08-27T00:00:00"/>
    <d v="2026-09-26T00:00:00"/>
    <n v="63002.95"/>
    <s v="Shirin Sultana"/>
    <m/>
    <n v="63002.95"/>
    <n v="-26"/>
    <x v="5"/>
  </r>
  <r>
    <s v="invoices_2026-08.csv"/>
    <s v="INV-202608-0260"/>
    <s v="C033"/>
    <d v="2026-08-27T00:00:00"/>
    <d v="2026-09-26T00:00:00"/>
    <n v="142915.81"/>
    <s v="Nusrat Jahan"/>
    <m/>
    <n v="142915.81"/>
    <n v="-26"/>
    <x v="5"/>
  </r>
  <r>
    <s v="invoices_2026-08.csv"/>
    <s v="INV-202608-0261"/>
    <s v="C045"/>
    <d v="2026-08-27T00:00:00"/>
    <d v="2026-09-11T00:00:00"/>
    <n v="164318.95000000001"/>
    <s v="Mahbub Alam"/>
    <m/>
    <n v="164318.95000000001"/>
    <n v="-11"/>
    <x v="5"/>
  </r>
  <r>
    <s v="invoices_2026-08.csv"/>
    <s v="INV-202608-0262"/>
    <s v="C022"/>
    <d v="2026-08-27T00:00:00"/>
    <d v="2026-09-11T00:00:00"/>
    <n v="239082.34"/>
    <s v="Mahbub Alam"/>
    <m/>
    <n v="239082.34"/>
    <n v="-11"/>
    <x v="5"/>
  </r>
  <r>
    <s v="invoices_2026-08.csv"/>
    <s v="INV-202608-0263"/>
    <s v="C046"/>
    <d v="2026-08-28T00:00:00"/>
    <d v="2026-09-27T00:00:00"/>
    <n v="64590.62"/>
    <s v="Mahbub Alam"/>
    <m/>
    <n v="64590.62"/>
    <n v="-27"/>
    <x v="5"/>
  </r>
  <r>
    <s v="invoices_2026-08.csv"/>
    <s v="INV-202608-0264"/>
    <s v="C004"/>
    <d v="2026-08-28T00:00:00"/>
    <d v="2026-10-12T00:00:00"/>
    <n v="626657.81000000006"/>
    <s v="Nusrat Jahan"/>
    <m/>
    <n v="626657.81000000006"/>
    <n v="-42"/>
    <x v="5"/>
  </r>
  <r>
    <s v="invoices_2026-08.csv"/>
    <s v="INV-202608-0265"/>
    <s v="C007"/>
    <d v="2026-08-28T00:00:00"/>
    <d v="2026-09-27T00:00:00"/>
    <n v="646148.41"/>
    <s v="Mahbub Alam"/>
    <n v="220143.09"/>
    <n v="426005.32"/>
    <n v="-27"/>
    <x v="5"/>
  </r>
  <r>
    <s v="invoices_2026-08.csv"/>
    <s v="INV-202608-0266"/>
    <s v="C044"/>
    <d v="2026-08-28T00:00:00"/>
    <d v="2026-09-27T00:00:00"/>
    <n v="549174.22"/>
    <s v="Mahbub Alam"/>
    <m/>
    <n v="549174.22"/>
    <n v="-27"/>
    <x v="5"/>
  </r>
  <r>
    <s v="invoices_2026-08.csv"/>
    <s v="INV-202608-0267"/>
    <s v="C041"/>
    <d v="2026-08-28T00:00:00"/>
    <d v="2026-09-27T00:00:00"/>
    <n v="51130.37"/>
    <s v="Tanvir Ahmed"/>
    <m/>
    <n v="51130.37"/>
    <n v="-27"/>
    <x v="5"/>
  </r>
  <r>
    <s v="invoices_2026-08.csv"/>
    <s v="INV-202608-0268"/>
    <s v="C008"/>
    <d v="2026-08-28T00:00:00"/>
    <d v="2026-10-12T00:00:00"/>
    <n v="507109.33"/>
    <s v="Shirin Sultana"/>
    <m/>
    <n v="507109.33"/>
    <n v="-42"/>
    <x v="5"/>
  </r>
  <r>
    <s v="invoices_2026-08.csv"/>
    <s v="INV-202608-0269"/>
    <s v="C032"/>
    <d v="2026-08-28T00:00:00"/>
    <d v="2026-10-12T00:00:00"/>
    <n v="1888169.02"/>
    <s v="Shirin Sultana"/>
    <m/>
    <n v="1888169.02"/>
    <n v="-42"/>
    <x v="5"/>
  </r>
  <r>
    <s v="invoices_2026-08.csv"/>
    <s v="INV-202608-0270"/>
    <s v="C020"/>
    <d v="2026-08-28T00:00:00"/>
    <d v="2026-10-27T00:00:00"/>
    <n v="399009.65"/>
    <s v="Nusrat Jahan"/>
    <m/>
    <n v="399009.65"/>
    <n v="-57"/>
    <x v="5"/>
  </r>
  <r>
    <s v="invoices_2026-08.csv"/>
    <s v="INV-202608-0271"/>
    <s v="C049"/>
    <d v="2026-08-29T00:00:00"/>
    <d v="2026-09-13T00:00:00"/>
    <n v="12784.1"/>
    <s v="Farzana Akter"/>
    <m/>
    <n v="12784.1"/>
    <n v="-13"/>
    <x v="5"/>
  </r>
  <r>
    <s v="invoices_2026-08.csv"/>
    <s v="INV-202608-0272"/>
    <s v="C019"/>
    <d v="2026-08-29T00:00:00"/>
    <d v="2026-10-28T00:00:00"/>
    <n v="298144.26"/>
    <s v="Tanvir Ahmed"/>
    <m/>
    <n v="298144.26"/>
    <n v="-58"/>
    <x v="5"/>
  </r>
  <r>
    <s v="invoices_2026-08.csv"/>
    <s v="INV-202608-0273"/>
    <s v="C012"/>
    <d v="2026-08-29T00:00:00"/>
    <d v="2026-09-28T00:00:00"/>
    <n v="326815.94"/>
    <s v="Shirin Sultana"/>
    <m/>
    <n v="326815.94"/>
    <n v="-28"/>
    <x v="5"/>
  </r>
  <r>
    <s v="invoices_2026-08.csv"/>
    <s v="INV-202608-0274"/>
    <s v="C012"/>
    <d v="2026-08-29T00:00:00"/>
    <d v="2026-09-28T00:00:00"/>
    <n v="188832.68"/>
    <s v="Shirin Sultana"/>
    <m/>
    <n v="188832.68"/>
    <n v="-28"/>
    <x v="5"/>
  </r>
  <r>
    <s v="invoices_2026-08.csv"/>
    <s v="INV-202608-0275"/>
    <s v="C033"/>
    <d v="2026-08-29T00:00:00"/>
    <d v="2026-09-28T00:00:00"/>
    <n v="410138.77"/>
    <s v="Nusrat Jahan"/>
    <m/>
    <n v="410138.77"/>
    <n v="-28"/>
    <x v="5"/>
  </r>
  <r>
    <s v="invoices_2026-08.csv"/>
    <s v="INV-202608-0276"/>
    <s v="C004"/>
    <d v="2026-08-29T00:00:00"/>
    <d v="2026-10-13T00:00:00"/>
    <n v="454338.08"/>
    <s v="Nusrat Jahan"/>
    <m/>
    <n v="454338.08"/>
    <n v="-43"/>
    <x v="5"/>
  </r>
  <r>
    <s v="invoices_2026-08.csv"/>
    <s v="INV-202608-0277"/>
    <s v="C009"/>
    <d v="2026-08-29T00:00:00"/>
    <d v="2026-10-13T00:00:00"/>
    <n v="459719.07"/>
    <s v="Farzana Akter"/>
    <m/>
    <n v="459719.07"/>
    <n v="-43"/>
    <x v="5"/>
  </r>
  <r>
    <s v="invoices_2026-08.csv"/>
    <s v="INV-202608-0278"/>
    <s v="C018"/>
    <d v="2026-08-29T00:00:00"/>
    <d v="2026-09-28T00:00:00"/>
    <n v="157090.32"/>
    <s v="Shirin Sultana"/>
    <m/>
    <n v="157090.32"/>
    <n v="-28"/>
    <x v="5"/>
  </r>
  <r>
    <s v="invoices_2026-08.csv"/>
    <s v="INV-202608-0279"/>
    <s v="C007"/>
    <d v="2026-08-29T00:00:00"/>
    <d v="2026-09-28T00:00:00"/>
    <n v="55859.49"/>
    <s v="Mahbub Alam"/>
    <m/>
    <n v="55859.49"/>
    <n v="-28"/>
    <x v="5"/>
  </r>
  <r>
    <s v="invoices_2026-08.csv"/>
    <s v="INV-202608-0280"/>
    <s v="C033"/>
    <d v="2026-08-30T00:00:00"/>
    <d v="2026-09-29T00:00:00"/>
    <n v="129705.17"/>
    <s v="Nusrat Jahan"/>
    <m/>
    <n v="129705.17"/>
    <n v="-29"/>
    <x v="5"/>
  </r>
  <r>
    <s v="invoices_2026-08.csv"/>
    <s v="INV-202608-0281"/>
    <s v="C009"/>
    <d v="2026-08-30T00:00:00"/>
    <d v="2026-10-14T00:00:00"/>
    <n v="201408.1"/>
    <s v="Farzana Akter"/>
    <m/>
    <n v="201408.1"/>
    <n v="-44"/>
    <x v="5"/>
  </r>
  <r>
    <s v="invoices_2026-08.csv"/>
    <s v="INV-202608-0282"/>
    <s v="C019"/>
    <d v="2026-08-30T00:00:00"/>
    <d v="2026-10-29T00:00:00"/>
    <n v="45354.84"/>
    <s v="Tanvir Ahmed"/>
    <n v="25346.78"/>
    <n v="20008.060000000001"/>
    <n v="-59"/>
    <x v="5"/>
  </r>
  <r>
    <s v="invoices_2026-08.csv"/>
    <s v="INV-202608-0283"/>
    <s v="C032"/>
    <d v="2026-08-30T00:00:00"/>
    <d v="2026-10-14T00:00:00"/>
    <n v="1483988.42"/>
    <s v="Shirin Sultana"/>
    <m/>
    <n v="1483988.42"/>
    <n v="-44"/>
    <x v="5"/>
  </r>
  <r>
    <s v="invoices_2026-08.csv"/>
    <s v="INV-202608-0284"/>
    <s v="C007"/>
    <d v="2026-08-31T00:00:00"/>
    <d v="2026-09-30T00:00:00"/>
    <n v="613492.72"/>
    <s v="Mahbub Alam"/>
    <m/>
    <n v="613492.72"/>
    <n v="-30"/>
    <x v="5"/>
  </r>
  <r>
    <s v="invoices_2026-08.csv"/>
    <s v="INV-202608-0285"/>
    <s v="C013"/>
    <d v="2026-08-31T00:00:00"/>
    <d v="2026-10-30T00:00:00"/>
    <n v="369382.14"/>
    <s v="Nusrat Jahan"/>
    <m/>
    <n v="369382.14"/>
    <n v="-60"/>
    <x v="5"/>
  </r>
  <r>
    <s v="invoices_2026-08.csv"/>
    <s v="INV-202608-0286"/>
    <s v="C009"/>
    <d v="2026-08-31T00:00:00"/>
    <d v="2026-10-15T00:00:00"/>
    <n v="222206.71"/>
    <s v="Farzana Akter"/>
    <m/>
    <n v="222206.71"/>
    <n v="-45"/>
    <x v="5"/>
  </r>
  <r>
    <s v="invoices_2026-08.csv"/>
    <s v="INV-202608-0287"/>
    <s v="C009"/>
    <d v="2026-08-31T00:00:00"/>
    <d v="2026-10-15T00:00:00"/>
    <n v="503474.14"/>
    <s v="Farzana Akter"/>
    <m/>
    <n v="503474.14"/>
    <n v="-45"/>
    <x v="5"/>
  </r>
  <r>
    <s v="invoices_2026-08.csv"/>
    <s v="INV-202608-0288"/>
    <s v="C032"/>
    <d v="2026-08-31T00:00:00"/>
    <d v="2026-10-15T00:00:00"/>
    <n v="974608.2"/>
    <s v="Shirin Sultana"/>
    <m/>
    <n v="974608.2"/>
    <n v="-45"/>
    <x v="5"/>
  </r>
  <r>
    <s v="invoices_2026-08.csv"/>
    <s v="INV-202608-0289"/>
    <s v="C017"/>
    <d v="2026-08-31T00:00:00"/>
    <d v="2026-09-15T00:00:00"/>
    <n v="15954.33"/>
    <s v="Tanvir Ahmed"/>
    <m/>
    <n v="15954.33"/>
    <n v="-15"/>
    <x v="5"/>
  </r>
  <r>
    <s v="invoices_2026-08.csv"/>
    <s v="INV-202608-0290"/>
    <s v="C035"/>
    <d v="2026-08-31T00:00:00"/>
    <d v="2026-10-15T00:00:00"/>
    <n v="378260.95"/>
    <s v="Farzana Akter"/>
    <m/>
    <n v="378260.95"/>
    <n v="-45"/>
    <x v="5"/>
  </r>
  <r>
    <s v="invoices_2026-08.csv"/>
    <s v="INV-202608-0291"/>
    <s v="C022"/>
    <d v="2026-08-31T00:00:00"/>
    <d v="2026-09-15T00:00:00"/>
    <n v="79838.929999999993"/>
    <s v="Mahbub Alam"/>
    <m/>
    <n v="79838.929999999993"/>
    <n v="-15"/>
    <x v="5"/>
  </r>
  <r>
    <s v="invoices_2026-08.csv"/>
    <s v="INV-202608-0292"/>
    <s v="C036"/>
    <d v="2026-08-31T00:00:00"/>
    <d v="2026-09-30T00:00:00"/>
    <n v="5563.05"/>
    <s v="Nusrat Jahan"/>
    <m/>
    <n v="5563.05"/>
    <n v="-30"/>
    <x v="5"/>
  </r>
  <r>
    <s v="invoices_2026-08.csv"/>
    <s v="INV-202608-0293"/>
    <s v="C015"/>
    <d v="2026-08-31T00:00:00"/>
    <d v="2026-09-30T00:00:00"/>
    <n v="33137.21"/>
    <s v="Nusrat Jahan"/>
    <m/>
    <n v="33137.21"/>
    <n v="-30"/>
    <x v="5"/>
  </r>
  <r>
    <s v="invoices_2026-08.csv"/>
    <s v="INV-202608-0295"/>
    <s v="C013"/>
    <d v="2026-08-31T00:00:00"/>
    <d v="2026-10-30T00:00:00"/>
    <n v="334632.49"/>
    <s v="Nusrat Jahan"/>
    <m/>
    <n v="334632.49"/>
    <n v="-60"/>
    <x v="5"/>
  </r>
  <r>
    <s v="invoices_2026-08.csv"/>
    <s v="INV-202608-0296"/>
    <s v="C021"/>
    <d v="2026-08-31T00:00:00"/>
    <d v="2026-09-30T00:00:00"/>
    <n v="86929.31"/>
    <s v="Mahbub Alam"/>
    <m/>
    <n v="86929.31"/>
    <n v="-30"/>
    <x v="5"/>
  </r>
  <r>
    <s v="invoices_2026-08.csv"/>
    <s v="INV-202608-0297"/>
    <s v="C035"/>
    <d v="2026-08-31T00:00:00"/>
    <d v="2026-10-15T00:00:00"/>
    <n v="433076.6"/>
    <s v="Farzana Akter"/>
    <m/>
    <n v="433076.6"/>
    <n v="-45"/>
    <x v="5"/>
  </r>
  <r>
    <s v="invoices_2026-08.csv"/>
    <s v="INV-202608-0298"/>
    <s v="C012"/>
    <d v="2026-08-31T00:00:00"/>
    <d v="2026-09-30T00:00:00"/>
    <n v="870517.87"/>
    <s v="Shirin Sultana"/>
    <m/>
    <n v="870517.87"/>
    <n v="-30"/>
    <x v="5"/>
  </r>
  <r>
    <s v="invoices_2026-08.csv"/>
    <s v="INV-202608-0299"/>
    <s v="C013"/>
    <d v="2026-08-31T00:00:00"/>
    <d v="2026-10-30T00:00:00"/>
    <n v="279344.25"/>
    <s v="Nusrat Jahan"/>
    <m/>
    <n v="279344.25"/>
    <n v="-60"/>
    <x v="5"/>
  </r>
  <r>
    <s v="invoices_2026-08.csv"/>
    <s v="INV-202608-0300"/>
    <s v="C007"/>
    <d v="2026-08-31T00:00:00"/>
    <d v="2026-09-30T00:00:00"/>
    <n v="501346.12"/>
    <s v="Mahbub Alam"/>
    <m/>
    <n v="501346.12"/>
    <n v="-30"/>
    <x v="5"/>
  </r>
  <r>
    <s v="invoices_2026-08.csv"/>
    <s v="INV-202608-0267"/>
    <s v="C041"/>
    <d v="2026-08-28T00:00:00"/>
    <d v="2026-09-27T00:00:00"/>
    <n v="51130.37"/>
    <s v="Tanvir Ahmed"/>
    <m/>
    <n v="51130.37"/>
    <n v="-27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6D948-63BA-4761-B6DC-5F87E5329ED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10" firstHeaderRow="0" firstDataRow="1" firstDataCol="1"/>
  <pivotFields count="11">
    <pivotField showAll="0"/>
    <pivotField dataField="1" showAll="0"/>
    <pivotField showAll="0"/>
    <pivotField numFmtId="14" showAll="0"/>
    <pivotField numFmtId="14" showAll="0"/>
    <pivotField showAll="0"/>
    <pivotField showAll="0"/>
    <pivotField showAll="0"/>
    <pivotField dataField="1" showAll="0"/>
    <pivotField showAll="0"/>
    <pivotField axis="axisRow" showAll="0">
      <items count="7">
        <item x="4"/>
        <item x="3"/>
        <item x="2"/>
        <item x="1"/>
        <item x="5"/>
        <item x="0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voiceID" fld="1" subtotal="count" baseField="0" baseItem="0"/>
    <dataField name="Sum of outstanding" fld="8" baseField="0" baseItem="0" numFmtId="1"/>
  </dataFields>
  <formats count="1"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1E277-D8A2-44A7-8F40-C7F1CC17896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C14:C15" firstHeaderRow="1" firstDataRow="1" firstDataCol="0"/>
  <pivotFields count="11"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>
      <items count="7">
        <item x="4"/>
        <item x="3"/>
        <item x="2"/>
        <item x="1"/>
        <item x="5"/>
        <item x="0"/>
        <item t="default"/>
      </items>
    </pivotField>
  </pivotFields>
  <rowItems count="1">
    <i/>
  </rowItems>
  <colItems count="1">
    <i/>
  </colItems>
  <dataFields count="1">
    <dataField name="Sum of InvoiceAmount" fld="5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7596B-DC98-4A69-8571-CA0C20D8D424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A15" firstHeaderRow="1" firstDataRow="1" firstDataCol="0"/>
  <pivotFields count="11"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  <pivotField showAll="0"/>
    <pivotField showAll="0"/>
    <pivotField showAll="0">
      <items count="7">
        <item x="4"/>
        <item x="3"/>
        <item x="2"/>
        <item x="1"/>
        <item x="5"/>
        <item x="0"/>
        <item t="default"/>
      </items>
    </pivotField>
  </pivotFields>
  <rowItems count="1">
    <i/>
  </rowItems>
  <colItems count="1">
    <i/>
  </colItems>
  <dataFields count="1">
    <dataField name="Sum of totalpaid" fld="7" baseField="0" baseItem="0" numFmtId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ADCFD7F-2843-49D3-B50B-C5A884448F86}" autoFormatId="16" applyNumberFormats="0" applyBorderFormats="0" applyFontFormats="0" applyPatternFormats="0" applyAlignmentFormats="0" applyWidthHeightFormats="0">
  <queryTableRefresh nextId="3">
    <queryTableFields count="2">
      <queryTableField id="1" name="InvoiceID" tableColumnId="1"/>
      <queryTableField id="2" name="totalpa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194A269-6FBB-4241-B52A-401C1335DD45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PaymentID" tableColumnId="2"/>
      <queryTableField id="3" name="InvoiceID" tableColumnId="3"/>
      <queryTableField id="4" name="PaymentDate" tableColumnId="4"/>
      <queryTableField id="5" name="AmountPaid" tableColumnId="5"/>
      <queryTableField id="6" name="PaymentMod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37A4AE1-AF75-4B69-8D78-746C45B68012}" autoFormatId="16" applyNumberFormats="0" applyBorderFormats="0" applyFontFormats="0" applyPatternFormats="0" applyAlignmentFormats="0" applyWidthHeightFormats="0">
  <queryTableRefresh nextId="12">
    <queryTableFields count="11">
      <queryTableField id="1" name="Source.Name" tableColumnId="1"/>
      <queryTableField id="2" name="InvoiceID" tableColumnId="2"/>
      <queryTableField id="3" name="CustomerID" tableColumnId="3"/>
      <queryTableField id="4" name="InvoiceDate" tableColumnId="4"/>
      <queryTableField id="5" name="DueDate" tableColumnId="5"/>
      <queryTableField id="6" name="InvoiceAmount" tableColumnId="6"/>
      <queryTableField id="7" name="SalesRep" tableColumnId="7"/>
      <queryTableField id="8" name="totalpaid" tableColumnId="8"/>
      <queryTableField id="9" name="outstanding" tableColumnId="9"/>
      <queryTableField id="10" name="DaysPastDue" tableColumnId="10"/>
      <queryTableField id="11" name="Bucket 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7D5A2-8B61-49D9-8610-64C52E85786C}" name="Pay_Summary" displayName="Pay_Summary" ref="A1:B1172" tableType="queryTable" totalsRowShown="0">
  <autoFilter ref="A1:B1172" xr:uid="{9207D5A2-8B61-49D9-8610-64C52E85786C}"/>
  <tableColumns count="2">
    <tableColumn id="1" xr3:uid="{E9392B7C-A379-46B0-A08B-114AE5E287D1}" uniqueName="1" name="InvoiceID" queryTableFieldId="1" dataDxfId="14"/>
    <tableColumn id="2" xr3:uid="{088E5B0D-75C0-4956-99E7-DEF9998F87B5}" uniqueName="2" name="totalpaid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3B915-33E6-4857-BD53-F12CA9BA4A08}" name="Payment_Clean" displayName="Payment_Clean" ref="A1:F1362" tableType="queryTable" totalsRowShown="0">
  <autoFilter ref="A1:F1362" xr:uid="{02F3B915-33E6-4857-BD53-F12CA9BA4A08}"/>
  <tableColumns count="6">
    <tableColumn id="1" xr3:uid="{AC73708C-1C20-40C0-9ED5-45682452DBBB}" uniqueName="1" name="Source.Name" queryTableFieldId="1" dataDxfId="13"/>
    <tableColumn id="2" xr3:uid="{A68BBB38-F8BD-4326-81BB-EA3F69C8709B}" uniqueName="2" name="PaymentID" queryTableFieldId="2" dataDxfId="12"/>
    <tableColumn id="3" xr3:uid="{535C1C87-2909-42D1-9569-A5F7E1381120}" uniqueName="3" name="InvoiceID" queryTableFieldId="3" dataDxfId="11"/>
    <tableColumn id="4" xr3:uid="{7AB17A16-EF30-4B56-B306-4923113DADC3}" uniqueName="4" name="PaymentDate" queryTableFieldId="4" dataDxfId="10"/>
    <tableColumn id="5" xr3:uid="{B9BF8023-A2C9-4124-ACFD-39543B789CEA}" uniqueName="5" name="AmountPaid" queryTableFieldId="5"/>
    <tableColumn id="6" xr3:uid="{791B6F34-456C-4E18-A49D-0365CE2B2B87}" uniqueName="6" name="PaymentMode" queryTableFieldId="6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F0C4C2-32E3-41E4-8028-6DD8D2F771DA}" name="Invoices_Clean" displayName="Invoices_Clean" ref="A1:K1496" tableType="queryTable" totalsRowShown="0">
  <autoFilter ref="A1:K1496" xr:uid="{7FF0C4C2-32E3-41E4-8028-6DD8D2F771DA}"/>
  <tableColumns count="11">
    <tableColumn id="1" xr3:uid="{9C2A2324-0AB1-4668-BDA0-BA17ACAD4413}" uniqueName="1" name="Source.Name" queryTableFieldId="1" dataDxfId="5"/>
    <tableColumn id="2" xr3:uid="{E1306FF5-DD07-483B-A036-9C32CFB603F8}" uniqueName="2" name="InvoiceID" queryTableFieldId="2" dataDxfId="4"/>
    <tableColumn id="3" xr3:uid="{56F52A2D-0635-4606-BF82-2902B343D20C}" uniqueName="3" name="CustomerID" queryTableFieldId="3" dataDxfId="3"/>
    <tableColumn id="4" xr3:uid="{EC41B618-1E15-4D9F-9620-0D3F66126734}" uniqueName="4" name="InvoiceDate" queryTableFieldId="4" dataDxfId="2"/>
    <tableColumn id="5" xr3:uid="{C474BFD6-D909-4862-8F99-B8C288109C7A}" uniqueName="5" name="DueDate" queryTableFieldId="5" dataDxfId="1"/>
    <tableColumn id="6" xr3:uid="{C770764F-2A87-46D8-A52E-03EBC64EB6F2}" uniqueName="6" name="InvoiceAmount" queryTableFieldId="6"/>
    <tableColumn id="7" xr3:uid="{B5575457-DA25-48D5-B920-7603744E9C0D}" uniqueName="7" name="SalesRep" queryTableFieldId="7" dataDxfId="0"/>
    <tableColumn id="8" xr3:uid="{0D5BE1D7-327A-4A05-8104-8CDA1E844141}" uniqueName="8" name="totalpaid" queryTableFieldId="8"/>
    <tableColumn id="9" xr3:uid="{45B00918-7C57-4D0B-AEE7-3098AF276289}" uniqueName="9" name="outstanding" queryTableFieldId="9"/>
    <tableColumn id="10" xr3:uid="{AF742D6C-7B52-4FF5-BD3A-85E96F991966}" uniqueName="10" name="DaysPastDue" queryTableFieldId="10"/>
    <tableColumn id="11" xr3:uid="{9E9A8307-3DEA-4D30-B17A-221A2267535B}" uniqueName="11" name="Bucket 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7F94-75B7-40B7-BE3E-5D284B701734}">
  <dimension ref="A1:A29"/>
  <sheetViews>
    <sheetView showGridLines="0" tabSelected="1" workbookViewId="0">
      <selection activeCell="A30" sqref="A1:XFD1048576"/>
    </sheetView>
  </sheetViews>
  <sheetFormatPr defaultRowHeight="15"/>
  <sheetData>
    <row r="1" spans="1:1" ht="31.5">
      <c r="A1" s="9" t="s">
        <v>2974</v>
      </c>
    </row>
    <row r="4" spans="1:1" ht="21">
      <c r="A4" s="10" t="s">
        <v>2975</v>
      </c>
    </row>
    <row r="6" spans="1:1">
      <c r="A6" t="s">
        <v>2979</v>
      </c>
    </row>
    <row r="7" spans="1:1">
      <c r="A7" s="11"/>
    </row>
    <row r="8" spans="1:1">
      <c r="A8" s="11" t="s">
        <v>2976</v>
      </c>
    </row>
    <row r="9" spans="1:1">
      <c r="A9" s="11" t="s">
        <v>2977</v>
      </c>
    </row>
    <row r="10" spans="1:1">
      <c r="A10" s="11" t="s">
        <v>2978</v>
      </c>
    </row>
    <row r="13" spans="1:1" ht="21">
      <c r="A13" s="10" t="s">
        <v>2980</v>
      </c>
    </row>
    <row r="15" spans="1:1">
      <c r="A15" t="s">
        <v>2982</v>
      </c>
    </row>
    <row r="16" spans="1:1">
      <c r="A16" t="s">
        <v>2981</v>
      </c>
    </row>
    <row r="17" spans="1:1">
      <c r="A17" t="s">
        <v>2983</v>
      </c>
    </row>
    <row r="20" spans="1:1" ht="21">
      <c r="A20" s="10" t="s">
        <v>2984</v>
      </c>
    </row>
    <row r="22" spans="1:1">
      <c r="A22" t="s">
        <v>2985</v>
      </c>
    </row>
    <row r="23" spans="1:1">
      <c r="A23" t="s">
        <v>2986</v>
      </c>
    </row>
    <row r="24" spans="1:1">
      <c r="A24" t="s">
        <v>2987</v>
      </c>
    </row>
    <row r="26" spans="1:1" ht="21">
      <c r="A26" s="10" t="s">
        <v>2988</v>
      </c>
    </row>
    <row r="27" spans="1:1">
      <c r="A27" t="s">
        <v>2989</v>
      </c>
    </row>
    <row r="28" spans="1:1">
      <c r="A28" t="s">
        <v>2990</v>
      </c>
    </row>
    <row r="29" spans="1:1">
      <c r="A29" t="s">
        <v>2991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4FE6-6E65-419E-9005-CB5375724324}">
  <dimension ref="A1:B1172"/>
  <sheetViews>
    <sheetView workbookViewId="0"/>
  </sheetViews>
  <sheetFormatPr defaultRowHeight="15"/>
  <cols>
    <col min="1" max="1" width="15.85546875" bestFit="1" customWidth="1"/>
    <col min="2" max="2" width="19.42578125" customWidth="1"/>
  </cols>
  <sheetData>
    <row r="1" spans="1:2">
      <c r="A1" t="s">
        <v>2</v>
      </c>
      <c r="B1" t="s">
        <v>2546</v>
      </c>
    </row>
    <row r="2" spans="1:2">
      <c r="A2" t="s">
        <v>8</v>
      </c>
      <c r="B2">
        <v>39629.51</v>
      </c>
    </row>
    <row r="3" spans="1:2">
      <c r="A3" t="s">
        <v>11</v>
      </c>
      <c r="B3">
        <v>214337.16</v>
      </c>
    </row>
    <row r="4" spans="1:2">
      <c r="A4" t="s">
        <v>13</v>
      </c>
      <c r="B4">
        <v>42793.120000000003</v>
      </c>
    </row>
    <row r="5" spans="1:2">
      <c r="A5" t="s">
        <v>15</v>
      </c>
      <c r="B5">
        <v>9224.93</v>
      </c>
    </row>
    <row r="6" spans="1:2">
      <c r="A6" t="s">
        <v>18</v>
      </c>
      <c r="B6">
        <v>334342.28000000003</v>
      </c>
    </row>
    <row r="7" spans="1:2">
      <c r="A7" t="s">
        <v>20</v>
      </c>
      <c r="B7">
        <v>51572.18</v>
      </c>
    </row>
    <row r="8" spans="1:2">
      <c r="A8" t="s">
        <v>22</v>
      </c>
      <c r="B8">
        <v>36169.97</v>
      </c>
    </row>
    <row r="9" spans="1:2">
      <c r="A9" t="s">
        <v>25</v>
      </c>
      <c r="B9">
        <v>27448.39</v>
      </c>
    </row>
    <row r="10" spans="1:2">
      <c r="A10" t="s">
        <v>28</v>
      </c>
      <c r="B10">
        <v>99962.32</v>
      </c>
    </row>
    <row r="11" spans="1:2">
      <c r="A11" t="s">
        <v>30</v>
      </c>
      <c r="B11">
        <v>7264.56</v>
      </c>
    </row>
    <row r="12" spans="1:2">
      <c r="A12" t="s">
        <v>32</v>
      </c>
      <c r="B12">
        <v>134037.78999999998</v>
      </c>
    </row>
    <row r="13" spans="1:2">
      <c r="A13" t="s">
        <v>34</v>
      </c>
      <c r="B13">
        <v>94500.37</v>
      </c>
    </row>
    <row r="14" spans="1:2">
      <c r="A14" t="s">
        <v>36</v>
      </c>
      <c r="B14">
        <v>546706.82999999996</v>
      </c>
    </row>
    <row r="15" spans="1:2">
      <c r="A15" t="s">
        <v>38</v>
      </c>
      <c r="B15">
        <v>8175.72</v>
      </c>
    </row>
    <row r="16" spans="1:2">
      <c r="A16" t="s">
        <v>40</v>
      </c>
      <c r="B16">
        <v>22124.76</v>
      </c>
    </row>
    <row r="17" spans="1:2">
      <c r="A17" t="s">
        <v>43</v>
      </c>
      <c r="B17">
        <v>24514.11</v>
      </c>
    </row>
    <row r="18" spans="1:2">
      <c r="A18" t="s">
        <v>45</v>
      </c>
      <c r="B18">
        <v>27230.9</v>
      </c>
    </row>
    <row r="19" spans="1:2">
      <c r="A19" t="s">
        <v>47</v>
      </c>
      <c r="B19">
        <v>1765522.45</v>
      </c>
    </row>
    <row r="20" spans="1:2">
      <c r="A20" t="s">
        <v>49</v>
      </c>
      <c r="B20">
        <v>9219.24</v>
      </c>
    </row>
    <row r="21" spans="1:2">
      <c r="A21" t="s">
        <v>51</v>
      </c>
      <c r="B21">
        <v>48338.559999999998</v>
      </c>
    </row>
    <row r="22" spans="1:2">
      <c r="A22" t="s">
        <v>53</v>
      </c>
      <c r="B22">
        <v>108158.82</v>
      </c>
    </row>
    <row r="23" spans="1:2">
      <c r="A23" t="s">
        <v>55</v>
      </c>
      <c r="B23">
        <v>230131.18</v>
      </c>
    </row>
    <row r="24" spans="1:2">
      <c r="A24" t="s">
        <v>57</v>
      </c>
      <c r="B24">
        <v>665301.81000000006</v>
      </c>
    </row>
    <row r="25" spans="1:2">
      <c r="A25" t="s">
        <v>59</v>
      </c>
      <c r="B25">
        <v>22098.71</v>
      </c>
    </row>
    <row r="26" spans="1:2">
      <c r="A26" t="s">
        <v>61</v>
      </c>
      <c r="B26">
        <v>53355.13</v>
      </c>
    </row>
    <row r="27" spans="1:2">
      <c r="A27" t="s">
        <v>63</v>
      </c>
      <c r="B27">
        <v>393243.17000000004</v>
      </c>
    </row>
    <row r="28" spans="1:2">
      <c r="A28" t="s">
        <v>65</v>
      </c>
      <c r="B28">
        <v>88282.99</v>
      </c>
    </row>
    <row r="29" spans="1:2">
      <c r="A29" t="s">
        <v>67</v>
      </c>
      <c r="B29">
        <v>53036.73</v>
      </c>
    </row>
    <row r="30" spans="1:2">
      <c r="A30" t="s">
        <v>69</v>
      </c>
      <c r="B30">
        <v>140414.04999999999</v>
      </c>
    </row>
    <row r="31" spans="1:2">
      <c r="A31" t="s">
        <v>71</v>
      </c>
      <c r="B31">
        <v>882047.15</v>
      </c>
    </row>
    <row r="32" spans="1:2">
      <c r="A32" t="s">
        <v>73</v>
      </c>
      <c r="B32">
        <v>88263.65</v>
      </c>
    </row>
    <row r="33" spans="1:2">
      <c r="A33" t="s">
        <v>75</v>
      </c>
      <c r="B33">
        <v>6496.39</v>
      </c>
    </row>
    <row r="34" spans="1:2">
      <c r="A34" t="s">
        <v>77</v>
      </c>
      <c r="B34">
        <v>21317.739999999998</v>
      </c>
    </row>
    <row r="35" spans="1:2">
      <c r="A35" t="s">
        <v>79</v>
      </c>
      <c r="B35">
        <v>38842.44</v>
      </c>
    </row>
    <row r="36" spans="1:2">
      <c r="A36" t="s">
        <v>81</v>
      </c>
      <c r="B36">
        <v>7707.5</v>
      </c>
    </row>
    <row r="37" spans="1:2">
      <c r="A37" t="s">
        <v>83</v>
      </c>
      <c r="B37">
        <v>409612.07</v>
      </c>
    </row>
    <row r="38" spans="1:2">
      <c r="A38" t="s">
        <v>85</v>
      </c>
      <c r="B38">
        <v>682760.91</v>
      </c>
    </row>
    <row r="39" spans="1:2">
      <c r="A39" t="s">
        <v>87</v>
      </c>
      <c r="B39">
        <v>147113.89000000001</v>
      </c>
    </row>
    <row r="40" spans="1:2">
      <c r="A40" t="s">
        <v>89</v>
      </c>
      <c r="B40">
        <v>513072.28</v>
      </c>
    </row>
    <row r="41" spans="1:2">
      <c r="A41" t="s">
        <v>92</v>
      </c>
      <c r="B41">
        <v>94625.06</v>
      </c>
    </row>
    <row r="42" spans="1:2">
      <c r="A42" t="s">
        <v>94</v>
      </c>
      <c r="B42">
        <v>58604.58</v>
      </c>
    </row>
    <row r="43" spans="1:2">
      <c r="A43" t="s">
        <v>96</v>
      </c>
      <c r="B43">
        <v>53401.48</v>
      </c>
    </row>
    <row r="44" spans="1:2">
      <c r="A44" t="s">
        <v>98</v>
      </c>
      <c r="B44">
        <v>155480.20000000001</v>
      </c>
    </row>
    <row r="45" spans="1:2">
      <c r="A45" t="s">
        <v>100</v>
      </c>
      <c r="B45">
        <v>764311.32</v>
      </c>
    </row>
    <row r="46" spans="1:2">
      <c r="A46" t="s">
        <v>102</v>
      </c>
      <c r="B46">
        <v>252234.52</v>
      </c>
    </row>
    <row r="47" spans="1:2">
      <c r="A47" t="s">
        <v>104</v>
      </c>
      <c r="B47">
        <v>89315.72</v>
      </c>
    </row>
    <row r="48" spans="1:2">
      <c r="A48" t="s">
        <v>107</v>
      </c>
      <c r="B48">
        <v>112204.87</v>
      </c>
    </row>
    <row r="49" spans="1:2">
      <c r="A49" t="s">
        <v>109</v>
      </c>
      <c r="B49">
        <v>1311016.5</v>
      </c>
    </row>
    <row r="50" spans="1:2">
      <c r="A50" t="s">
        <v>111</v>
      </c>
      <c r="B50">
        <v>15449.060000000001</v>
      </c>
    </row>
    <row r="51" spans="1:2">
      <c r="A51" t="s">
        <v>113</v>
      </c>
      <c r="B51">
        <v>271037.68</v>
      </c>
    </row>
    <row r="52" spans="1:2">
      <c r="A52" t="s">
        <v>115</v>
      </c>
      <c r="B52">
        <v>75244.5</v>
      </c>
    </row>
    <row r="53" spans="1:2">
      <c r="A53" t="s">
        <v>117</v>
      </c>
      <c r="B53">
        <v>132211.53</v>
      </c>
    </row>
    <row r="54" spans="1:2">
      <c r="A54" t="s">
        <v>119</v>
      </c>
      <c r="B54">
        <v>13728.14</v>
      </c>
    </row>
    <row r="55" spans="1:2">
      <c r="A55" t="s">
        <v>121</v>
      </c>
      <c r="B55">
        <v>32289.43</v>
      </c>
    </row>
    <row r="56" spans="1:2">
      <c r="A56" t="s">
        <v>123</v>
      </c>
      <c r="B56">
        <v>85590.61</v>
      </c>
    </row>
    <row r="57" spans="1:2">
      <c r="A57" t="s">
        <v>125</v>
      </c>
      <c r="B57">
        <v>156659.23000000001</v>
      </c>
    </row>
    <row r="58" spans="1:2">
      <c r="A58" t="s">
        <v>127</v>
      </c>
      <c r="B58">
        <v>102613.64</v>
      </c>
    </row>
    <row r="59" spans="1:2">
      <c r="A59" t="s">
        <v>129</v>
      </c>
      <c r="B59">
        <v>552532.4</v>
      </c>
    </row>
    <row r="60" spans="1:2">
      <c r="A60" t="s">
        <v>131</v>
      </c>
      <c r="B60">
        <v>113887.38</v>
      </c>
    </row>
    <row r="61" spans="1:2">
      <c r="A61" t="s">
        <v>133</v>
      </c>
      <c r="B61">
        <v>290474.34999999998</v>
      </c>
    </row>
    <row r="62" spans="1:2">
      <c r="A62" t="s">
        <v>135</v>
      </c>
      <c r="B62">
        <v>520432.09</v>
      </c>
    </row>
    <row r="63" spans="1:2">
      <c r="A63" t="s">
        <v>137</v>
      </c>
      <c r="B63">
        <v>544610.97</v>
      </c>
    </row>
    <row r="64" spans="1:2">
      <c r="A64" t="s">
        <v>139</v>
      </c>
      <c r="B64">
        <v>67859.210000000006</v>
      </c>
    </row>
    <row r="65" spans="1:2">
      <c r="A65" t="s">
        <v>141</v>
      </c>
      <c r="B65">
        <v>320111.78000000003</v>
      </c>
    </row>
    <row r="66" spans="1:2">
      <c r="A66" t="s">
        <v>143</v>
      </c>
      <c r="B66">
        <v>31535.08</v>
      </c>
    </row>
    <row r="67" spans="1:2">
      <c r="A67" t="s">
        <v>145</v>
      </c>
      <c r="B67">
        <v>537681.73</v>
      </c>
    </row>
    <row r="68" spans="1:2">
      <c r="A68" t="s">
        <v>147</v>
      </c>
      <c r="B68">
        <v>85509.119999999995</v>
      </c>
    </row>
    <row r="69" spans="1:2">
      <c r="A69" t="s">
        <v>152</v>
      </c>
      <c r="B69">
        <v>217655.91</v>
      </c>
    </row>
    <row r="70" spans="1:2">
      <c r="A70" t="s">
        <v>154</v>
      </c>
      <c r="B70">
        <v>156894.60999999999</v>
      </c>
    </row>
    <row r="71" spans="1:2">
      <c r="A71" t="s">
        <v>156</v>
      </c>
      <c r="B71">
        <v>55990.21</v>
      </c>
    </row>
    <row r="72" spans="1:2">
      <c r="A72" t="s">
        <v>158</v>
      </c>
      <c r="B72">
        <v>238781.2</v>
      </c>
    </row>
    <row r="73" spans="1:2">
      <c r="A73" t="s">
        <v>161</v>
      </c>
      <c r="B73">
        <v>541498.90999999992</v>
      </c>
    </row>
    <row r="74" spans="1:2">
      <c r="A74" t="s">
        <v>163</v>
      </c>
      <c r="B74">
        <v>292953.32</v>
      </c>
    </row>
    <row r="75" spans="1:2">
      <c r="A75" t="s">
        <v>165</v>
      </c>
      <c r="B75">
        <v>62845.29</v>
      </c>
    </row>
    <row r="76" spans="1:2">
      <c r="A76" t="s">
        <v>167</v>
      </c>
      <c r="B76">
        <v>109707.86000000002</v>
      </c>
    </row>
    <row r="77" spans="1:2">
      <c r="A77" t="s">
        <v>169</v>
      </c>
      <c r="B77">
        <v>20237.419999999998</v>
      </c>
    </row>
    <row r="78" spans="1:2">
      <c r="A78" t="s">
        <v>171</v>
      </c>
      <c r="B78">
        <v>1178993.8899999999</v>
      </c>
    </row>
    <row r="79" spans="1:2">
      <c r="A79" t="s">
        <v>173</v>
      </c>
      <c r="B79">
        <v>343538.24</v>
      </c>
    </row>
    <row r="80" spans="1:2">
      <c r="A80" t="s">
        <v>175</v>
      </c>
      <c r="B80">
        <v>173054.81</v>
      </c>
    </row>
    <row r="81" spans="1:2">
      <c r="A81" t="s">
        <v>177</v>
      </c>
      <c r="B81">
        <v>23608.31</v>
      </c>
    </row>
    <row r="82" spans="1:2">
      <c r="A82" t="s">
        <v>179</v>
      </c>
      <c r="B82">
        <v>23669.47</v>
      </c>
    </row>
    <row r="83" spans="1:2">
      <c r="A83" t="s">
        <v>181</v>
      </c>
      <c r="B83">
        <v>5712.31</v>
      </c>
    </row>
    <row r="84" spans="1:2">
      <c r="A84" t="s">
        <v>183</v>
      </c>
      <c r="B84">
        <v>9983</v>
      </c>
    </row>
    <row r="85" spans="1:2">
      <c r="A85" t="s">
        <v>185</v>
      </c>
      <c r="B85">
        <v>192481.42</v>
      </c>
    </row>
    <row r="86" spans="1:2">
      <c r="A86" t="s">
        <v>187</v>
      </c>
      <c r="B86">
        <v>39270.25</v>
      </c>
    </row>
    <row r="87" spans="1:2">
      <c r="A87" t="s">
        <v>189</v>
      </c>
      <c r="B87">
        <v>43318.080000000002</v>
      </c>
    </row>
    <row r="88" spans="1:2">
      <c r="A88" t="s">
        <v>191</v>
      </c>
      <c r="B88">
        <v>55492.68</v>
      </c>
    </row>
    <row r="89" spans="1:2">
      <c r="A89" t="s">
        <v>193</v>
      </c>
      <c r="B89">
        <v>2000000</v>
      </c>
    </row>
    <row r="90" spans="1:2">
      <c r="A90" t="s">
        <v>195</v>
      </c>
      <c r="B90">
        <v>1235139</v>
      </c>
    </row>
    <row r="91" spans="1:2">
      <c r="A91" t="s">
        <v>197</v>
      </c>
      <c r="B91">
        <v>50730.98</v>
      </c>
    </row>
    <row r="92" spans="1:2">
      <c r="A92" t="s">
        <v>200</v>
      </c>
      <c r="B92">
        <v>67964.539999999994</v>
      </c>
    </row>
    <row r="93" spans="1:2">
      <c r="A93" t="s">
        <v>202</v>
      </c>
      <c r="B93">
        <v>143793.24</v>
      </c>
    </row>
    <row r="94" spans="1:2">
      <c r="A94" t="s">
        <v>204</v>
      </c>
      <c r="B94">
        <v>18243.12</v>
      </c>
    </row>
    <row r="95" spans="1:2">
      <c r="A95" t="s">
        <v>206</v>
      </c>
      <c r="B95">
        <v>61892.36</v>
      </c>
    </row>
    <row r="96" spans="1:2">
      <c r="A96" t="s">
        <v>208</v>
      </c>
      <c r="B96">
        <v>324887.95</v>
      </c>
    </row>
    <row r="97" spans="1:2">
      <c r="A97" t="s">
        <v>212</v>
      </c>
      <c r="B97">
        <v>40307.75</v>
      </c>
    </row>
    <row r="98" spans="1:2">
      <c r="A98" t="s">
        <v>214</v>
      </c>
      <c r="B98">
        <v>30696.69</v>
      </c>
    </row>
    <row r="99" spans="1:2">
      <c r="A99" t="s">
        <v>216</v>
      </c>
      <c r="B99">
        <v>21000.97</v>
      </c>
    </row>
    <row r="100" spans="1:2">
      <c r="A100" t="s">
        <v>218</v>
      </c>
      <c r="B100">
        <v>128674.48</v>
      </c>
    </row>
    <row r="101" spans="1:2">
      <c r="A101" t="s">
        <v>220</v>
      </c>
      <c r="B101">
        <v>83060.350000000006</v>
      </c>
    </row>
    <row r="102" spans="1:2">
      <c r="A102" t="s">
        <v>222</v>
      </c>
      <c r="B102">
        <v>1904412.04</v>
      </c>
    </row>
    <row r="103" spans="1:2">
      <c r="A103" t="s">
        <v>224</v>
      </c>
      <c r="B103">
        <v>70480.97</v>
      </c>
    </row>
    <row r="104" spans="1:2">
      <c r="A104" t="s">
        <v>226</v>
      </c>
      <c r="B104">
        <v>1817460.64</v>
      </c>
    </row>
    <row r="105" spans="1:2">
      <c r="A105" t="s">
        <v>228</v>
      </c>
      <c r="B105">
        <v>116804.72</v>
      </c>
    </row>
    <row r="106" spans="1:2">
      <c r="A106" t="s">
        <v>230</v>
      </c>
      <c r="B106">
        <v>547398.78</v>
      </c>
    </row>
    <row r="107" spans="1:2">
      <c r="A107" t="s">
        <v>232</v>
      </c>
      <c r="B107">
        <v>37120.480000000003</v>
      </c>
    </row>
    <row r="108" spans="1:2">
      <c r="A108" t="s">
        <v>234</v>
      </c>
      <c r="B108">
        <v>117527.87</v>
      </c>
    </row>
    <row r="109" spans="1:2">
      <c r="A109" t="s">
        <v>236</v>
      </c>
      <c r="B109">
        <v>51716.74</v>
      </c>
    </row>
    <row r="110" spans="1:2">
      <c r="A110" t="s">
        <v>238</v>
      </c>
      <c r="B110">
        <v>18592.61</v>
      </c>
    </row>
    <row r="111" spans="1:2">
      <c r="A111" t="s">
        <v>240</v>
      </c>
      <c r="B111">
        <v>509948.8</v>
      </c>
    </row>
    <row r="112" spans="1:2">
      <c r="A112" t="s">
        <v>242</v>
      </c>
      <c r="B112">
        <v>1198871.19</v>
      </c>
    </row>
    <row r="113" spans="1:2">
      <c r="A113" t="s">
        <v>244</v>
      </c>
      <c r="B113">
        <v>68103.94</v>
      </c>
    </row>
    <row r="114" spans="1:2">
      <c r="A114" t="s">
        <v>246</v>
      </c>
      <c r="B114">
        <v>108153.53</v>
      </c>
    </row>
    <row r="115" spans="1:2">
      <c r="A115" t="s">
        <v>250</v>
      </c>
      <c r="B115">
        <v>10899.84</v>
      </c>
    </row>
    <row r="116" spans="1:2">
      <c r="A116" t="s">
        <v>252</v>
      </c>
      <c r="B116">
        <v>11243.13</v>
      </c>
    </row>
    <row r="117" spans="1:2">
      <c r="A117" t="s">
        <v>254</v>
      </c>
      <c r="B117">
        <v>1337930.3</v>
      </c>
    </row>
    <row r="118" spans="1:2">
      <c r="A118" t="s">
        <v>256</v>
      </c>
      <c r="B118">
        <v>646604.36</v>
      </c>
    </row>
    <row r="119" spans="1:2">
      <c r="A119" t="s">
        <v>258</v>
      </c>
      <c r="B119">
        <v>36047.69</v>
      </c>
    </row>
    <row r="120" spans="1:2">
      <c r="A120" t="s">
        <v>260</v>
      </c>
      <c r="B120">
        <v>88895.679999999993</v>
      </c>
    </row>
    <row r="121" spans="1:2">
      <c r="A121" t="s">
        <v>262</v>
      </c>
      <c r="B121">
        <v>329140.92</v>
      </c>
    </row>
    <row r="122" spans="1:2">
      <c r="A122" t="s">
        <v>264</v>
      </c>
      <c r="B122">
        <v>269606.73</v>
      </c>
    </row>
    <row r="123" spans="1:2">
      <c r="A123" t="s">
        <v>266</v>
      </c>
      <c r="B123">
        <v>368608.07</v>
      </c>
    </row>
    <row r="124" spans="1:2">
      <c r="A124" t="s">
        <v>271</v>
      </c>
      <c r="B124">
        <v>9963.56</v>
      </c>
    </row>
    <row r="125" spans="1:2">
      <c r="A125" t="s">
        <v>273</v>
      </c>
      <c r="B125">
        <v>472566.69</v>
      </c>
    </row>
    <row r="126" spans="1:2">
      <c r="A126" t="s">
        <v>276</v>
      </c>
      <c r="B126">
        <v>22684.92</v>
      </c>
    </row>
    <row r="127" spans="1:2">
      <c r="A127" t="s">
        <v>278</v>
      </c>
      <c r="B127">
        <v>12806.86</v>
      </c>
    </row>
    <row r="128" spans="1:2">
      <c r="A128" t="s">
        <v>280</v>
      </c>
      <c r="B128">
        <v>40718.44</v>
      </c>
    </row>
    <row r="129" spans="1:2">
      <c r="A129" t="s">
        <v>282</v>
      </c>
      <c r="B129">
        <v>255194.2</v>
      </c>
    </row>
    <row r="130" spans="1:2">
      <c r="A130" t="s">
        <v>284</v>
      </c>
      <c r="B130">
        <v>87034.05</v>
      </c>
    </row>
    <row r="131" spans="1:2">
      <c r="A131" t="s">
        <v>286</v>
      </c>
      <c r="B131">
        <v>315175.57</v>
      </c>
    </row>
    <row r="132" spans="1:2">
      <c r="A132" t="s">
        <v>288</v>
      </c>
      <c r="B132">
        <v>186391.37</v>
      </c>
    </row>
    <row r="133" spans="1:2">
      <c r="A133" t="s">
        <v>290</v>
      </c>
      <c r="B133">
        <v>59932.95</v>
      </c>
    </row>
    <row r="134" spans="1:2">
      <c r="A134" t="s">
        <v>292</v>
      </c>
      <c r="B134">
        <v>67544.47</v>
      </c>
    </row>
    <row r="135" spans="1:2">
      <c r="A135" t="s">
        <v>294</v>
      </c>
      <c r="B135">
        <v>10527.95</v>
      </c>
    </row>
    <row r="136" spans="1:2">
      <c r="A136" t="s">
        <v>296</v>
      </c>
      <c r="B136">
        <v>451022.4</v>
      </c>
    </row>
    <row r="137" spans="1:2">
      <c r="A137" t="s">
        <v>298</v>
      </c>
      <c r="B137">
        <v>169034.79</v>
      </c>
    </row>
    <row r="138" spans="1:2">
      <c r="A138" t="s">
        <v>301</v>
      </c>
      <c r="B138">
        <v>243325.57</v>
      </c>
    </row>
    <row r="139" spans="1:2">
      <c r="A139" t="s">
        <v>303</v>
      </c>
      <c r="B139">
        <v>378331.17</v>
      </c>
    </row>
    <row r="140" spans="1:2">
      <c r="A140" t="s">
        <v>305</v>
      </c>
      <c r="B140">
        <v>75905.84</v>
      </c>
    </row>
    <row r="141" spans="1:2">
      <c r="A141" t="s">
        <v>307</v>
      </c>
      <c r="B141">
        <v>2503202.56</v>
      </c>
    </row>
    <row r="142" spans="1:2">
      <c r="A142" t="s">
        <v>309</v>
      </c>
      <c r="B142">
        <v>75067.69</v>
      </c>
    </row>
    <row r="143" spans="1:2">
      <c r="A143" t="s">
        <v>311</v>
      </c>
      <c r="B143">
        <v>54859.8</v>
      </c>
    </row>
    <row r="144" spans="1:2">
      <c r="A144" t="s">
        <v>313</v>
      </c>
      <c r="B144">
        <v>269015</v>
      </c>
    </row>
    <row r="145" spans="1:2">
      <c r="A145" t="s">
        <v>315</v>
      </c>
      <c r="B145">
        <v>156284.29</v>
      </c>
    </row>
    <row r="146" spans="1:2">
      <c r="A146" t="s">
        <v>317</v>
      </c>
      <c r="B146">
        <v>222711.57</v>
      </c>
    </row>
    <row r="147" spans="1:2">
      <c r="A147" t="s">
        <v>319</v>
      </c>
      <c r="B147">
        <v>3425.83</v>
      </c>
    </row>
    <row r="148" spans="1:2">
      <c r="A148" t="s">
        <v>321</v>
      </c>
      <c r="B148">
        <v>3412.8100000000004</v>
      </c>
    </row>
    <row r="149" spans="1:2">
      <c r="A149" t="s">
        <v>323</v>
      </c>
      <c r="B149">
        <v>418677.52</v>
      </c>
    </row>
    <row r="150" spans="1:2">
      <c r="A150" t="s">
        <v>325</v>
      </c>
      <c r="B150">
        <v>301409.53999999998</v>
      </c>
    </row>
    <row r="151" spans="1:2">
      <c r="A151" t="s">
        <v>327</v>
      </c>
      <c r="B151">
        <v>5000</v>
      </c>
    </row>
    <row r="152" spans="1:2">
      <c r="A152" t="s">
        <v>329</v>
      </c>
      <c r="B152">
        <v>731992.64</v>
      </c>
    </row>
    <row r="153" spans="1:2">
      <c r="A153" t="s">
        <v>331</v>
      </c>
      <c r="B153">
        <v>349382.43</v>
      </c>
    </row>
    <row r="154" spans="1:2">
      <c r="A154" t="s">
        <v>333</v>
      </c>
      <c r="B154">
        <v>567334.06999999995</v>
      </c>
    </row>
    <row r="155" spans="1:2">
      <c r="A155" t="s">
        <v>335</v>
      </c>
      <c r="B155">
        <v>14162.130000000001</v>
      </c>
    </row>
    <row r="156" spans="1:2">
      <c r="A156" t="s">
        <v>337</v>
      </c>
      <c r="B156">
        <v>127338.64</v>
      </c>
    </row>
    <row r="157" spans="1:2">
      <c r="A157" t="s">
        <v>339</v>
      </c>
      <c r="B157">
        <v>55788.98</v>
      </c>
    </row>
    <row r="158" spans="1:2">
      <c r="A158" t="s">
        <v>341</v>
      </c>
      <c r="B158">
        <v>531262.05000000005</v>
      </c>
    </row>
    <row r="159" spans="1:2">
      <c r="A159" t="s">
        <v>343</v>
      </c>
      <c r="B159">
        <v>37093.370000000003</v>
      </c>
    </row>
    <row r="160" spans="1:2">
      <c r="A160" t="s">
        <v>345</v>
      </c>
      <c r="B160">
        <v>302401.59000000003</v>
      </c>
    </row>
    <row r="161" spans="1:2">
      <c r="A161" t="s">
        <v>347</v>
      </c>
      <c r="B161">
        <v>775336.61</v>
      </c>
    </row>
    <row r="162" spans="1:2">
      <c r="A162" t="s">
        <v>349</v>
      </c>
      <c r="B162">
        <v>65444.7</v>
      </c>
    </row>
    <row r="163" spans="1:2">
      <c r="A163" t="s">
        <v>351</v>
      </c>
      <c r="B163">
        <v>174679.19</v>
      </c>
    </row>
    <row r="164" spans="1:2">
      <c r="A164" t="s">
        <v>353</v>
      </c>
      <c r="B164">
        <v>195600.67</v>
      </c>
    </row>
    <row r="165" spans="1:2">
      <c r="A165" t="s">
        <v>355</v>
      </c>
      <c r="B165">
        <v>35486.400000000001</v>
      </c>
    </row>
    <row r="166" spans="1:2">
      <c r="A166" t="s">
        <v>357</v>
      </c>
      <c r="B166">
        <v>31321.72</v>
      </c>
    </row>
    <row r="167" spans="1:2">
      <c r="A167" t="s">
        <v>359</v>
      </c>
      <c r="B167">
        <v>58057.62</v>
      </c>
    </row>
    <row r="168" spans="1:2">
      <c r="A168" t="s">
        <v>361</v>
      </c>
      <c r="B168">
        <v>44829.96</v>
      </c>
    </row>
    <row r="169" spans="1:2">
      <c r="A169" t="s">
        <v>363</v>
      </c>
      <c r="B169">
        <v>176655.86</v>
      </c>
    </row>
    <row r="170" spans="1:2">
      <c r="A170" t="s">
        <v>365</v>
      </c>
      <c r="B170">
        <v>32084.880000000001</v>
      </c>
    </row>
    <row r="171" spans="1:2">
      <c r="A171" t="s">
        <v>367</v>
      </c>
      <c r="B171">
        <v>717485.32000000007</v>
      </c>
    </row>
    <row r="172" spans="1:2">
      <c r="A172" t="s">
        <v>369</v>
      </c>
      <c r="B172">
        <v>13608.98</v>
      </c>
    </row>
    <row r="173" spans="1:2">
      <c r="A173" t="s">
        <v>371</v>
      </c>
      <c r="B173">
        <v>29699.21</v>
      </c>
    </row>
    <row r="174" spans="1:2">
      <c r="A174" t="s">
        <v>373</v>
      </c>
      <c r="B174">
        <v>159642.54</v>
      </c>
    </row>
    <row r="175" spans="1:2">
      <c r="A175" t="s">
        <v>376</v>
      </c>
      <c r="B175">
        <v>2000000</v>
      </c>
    </row>
    <row r="176" spans="1:2">
      <c r="A176" t="s">
        <v>378</v>
      </c>
      <c r="B176">
        <v>185727.02</v>
      </c>
    </row>
    <row r="177" spans="1:2">
      <c r="A177" t="s">
        <v>380</v>
      </c>
      <c r="B177">
        <v>25076.720000000001</v>
      </c>
    </row>
    <row r="178" spans="1:2">
      <c r="A178" t="s">
        <v>382</v>
      </c>
      <c r="B178">
        <v>31535.279999999999</v>
      </c>
    </row>
    <row r="179" spans="1:2">
      <c r="A179" t="s">
        <v>384</v>
      </c>
      <c r="B179">
        <v>38288.050000000003</v>
      </c>
    </row>
    <row r="180" spans="1:2">
      <c r="A180" t="s">
        <v>386</v>
      </c>
      <c r="B180">
        <v>199798.53999999998</v>
      </c>
    </row>
    <row r="181" spans="1:2">
      <c r="A181" t="s">
        <v>388</v>
      </c>
      <c r="B181">
        <v>87002.33</v>
      </c>
    </row>
    <row r="182" spans="1:2">
      <c r="A182" t="s">
        <v>390</v>
      </c>
      <c r="B182">
        <v>789606.96</v>
      </c>
    </row>
    <row r="183" spans="1:2">
      <c r="A183" t="s">
        <v>392</v>
      </c>
      <c r="B183">
        <v>63417.5</v>
      </c>
    </row>
    <row r="184" spans="1:2">
      <c r="A184" t="s">
        <v>394</v>
      </c>
      <c r="B184">
        <v>34078.58</v>
      </c>
    </row>
    <row r="185" spans="1:2">
      <c r="A185" t="s">
        <v>396</v>
      </c>
      <c r="B185">
        <v>293983.57</v>
      </c>
    </row>
    <row r="186" spans="1:2">
      <c r="A186" t="s">
        <v>398</v>
      </c>
      <c r="B186">
        <v>55043.34</v>
      </c>
    </row>
    <row r="187" spans="1:2">
      <c r="A187" t="s">
        <v>400</v>
      </c>
      <c r="B187">
        <v>9860.6</v>
      </c>
    </row>
    <row r="188" spans="1:2">
      <c r="A188" t="s">
        <v>402</v>
      </c>
      <c r="B188">
        <v>27299.39</v>
      </c>
    </row>
    <row r="189" spans="1:2">
      <c r="A189" t="s">
        <v>404</v>
      </c>
      <c r="B189">
        <v>347218.48</v>
      </c>
    </row>
    <row r="190" spans="1:2">
      <c r="A190" t="s">
        <v>407</v>
      </c>
      <c r="B190">
        <v>43023.98</v>
      </c>
    </row>
    <row r="191" spans="1:2">
      <c r="A191" t="s">
        <v>409</v>
      </c>
      <c r="B191">
        <v>38452.019999999997</v>
      </c>
    </row>
    <row r="192" spans="1:2">
      <c r="A192" t="s">
        <v>411</v>
      </c>
      <c r="B192">
        <v>54468.88</v>
      </c>
    </row>
    <row r="193" spans="1:2">
      <c r="A193" t="s">
        <v>413</v>
      </c>
      <c r="B193">
        <v>78969.289999999994</v>
      </c>
    </row>
    <row r="194" spans="1:2">
      <c r="A194" t="s">
        <v>415</v>
      </c>
      <c r="B194">
        <v>132447.43</v>
      </c>
    </row>
    <row r="195" spans="1:2">
      <c r="A195" t="s">
        <v>417</v>
      </c>
      <c r="B195">
        <v>524985.55000000005</v>
      </c>
    </row>
    <row r="196" spans="1:2">
      <c r="A196" t="s">
        <v>420</v>
      </c>
      <c r="B196">
        <v>148558</v>
      </c>
    </row>
    <row r="197" spans="1:2">
      <c r="A197" t="s">
        <v>422</v>
      </c>
      <c r="B197">
        <v>123033.21</v>
      </c>
    </row>
    <row r="198" spans="1:2">
      <c r="A198" t="s">
        <v>424</v>
      </c>
      <c r="B198">
        <v>364292.42</v>
      </c>
    </row>
    <row r="199" spans="1:2">
      <c r="A199" t="s">
        <v>426</v>
      </c>
      <c r="B199">
        <v>110187.42</v>
      </c>
    </row>
    <row r="200" spans="1:2">
      <c r="A200" t="s">
        <v>428</v>
      </c>
      <c r="B200">
        <v>46711.65</v>
      </c>
    </row>
    <row r="201" spans="1:2">
      <c r="A201" t="s">
        <v>430</v>
      </c>
      <c r="B201">
        <v>24005.43</v>
      </c>
    </row>
    <row r="202" spans="1:2">
      <c r="A202" t="s">
        <v>432</v>
      </c>
      <c r="B202">
        <v>33941.14</v>
      </c>
    </row>
    <row r="203" spans="1:2">
      <c r="A203" t="s">
        <v>434</v>
      </c>
      <c r="B203">
        <v>456748.96</v>
      </c>
    </row>
    <row r="204" spans="1:2">
      <c r="A204" t="s">
        <v>436</v>
      </c>
      <c r="B204">
        <v>1128611.0499999998</v>
      </c>
    </row>
    <row r="205" spans="1:2">
      <c r="A205" t="s">
        <v>438</v>
      </c>
      <c r="B205">
        <v>1412043.84</v>
      </c>
    </row>
    <row r="206" spans="1:2">
      <c r="A206" t="s">
        <v>440</v>
      </c>
      <c r="B206">
        <v>372533.91</v>
      </c>
    </row>
    <row r="207" spans="1:2">
      <c r="A207" t="s">
        <v>442</v>
      </c>
      <c r="B207">
        <v>65460.13</v>
      </c>
    </row>
    <row r="208" spans="1:2">
      <c r="A208" t="s">
        <v>444</v>
      </c>
      <c r="B208">
        <v>376178.78</v>
      </c>
    </row>
    <row r="209" spans="1:2">
      <c r="A209" t="s">
        <v>446</v>
      </c>
      <c r="B209">
        <v>989605.61</v>
      </c>
    </row>
    <row r="210" spans="1:2">
      <c r="A210" t="s">
        <v>448</v>
      </c>
      <c r="B210">
        <v>42127.34</v>
      </c>
    </row>
    <row r="211" spans="1:2">
      <c r="A211" t="s">
        <v>450</v>
      </c>
      <c r="B211">
        <v>69169.490000000005</v>
      </c>
    </row>
    <row r="212" spans="1:2">
      <c r="A212" t="s">
        <v>452</v>
      </c>
      <c r="B212">
        <v>35099.67</v>
      </c>
    </row>
    <row r="213" spans="1:2">
      <c r="A213" t="s">
        <v>454</v>
      </c>
      <c r="B213">
        <v>90247.23000000001</v>
      </c>
    </row>
    <row r="214" spans="1:2">
      <c r="A214" t="s">
        <v>456</v>
      </c>
      <c r="B214">
        <v>19088.080000000002</v>
      </c>
    </row>
    <row r="215" spans="1:2">
      <c r="A215" t="s">
        <v>458</v>
      </c>
      <c r="B215">
        <v>67881.710000000006</v>
      </c>
    </row>
    <row r="216" spans="1:2">
      <c r="A216" t="s">
        <v>460</v>
      </c>
      <c r="B216">
        <v>174464.25</v>
      </c>
    </row>
    <row r="217" spans="1:2">
      <c r="A217" t="s">
        <v>462</v>
      </c>
      <c r="B217">
        <v>134547.97</v>
      </c>
    </row>
    <row r="218" spans="1:2">
      <c r="A218" t="s">
        <v>464</v>
      </c>
      <c r="B218">
        <v>11697.29</v>
      </c>
    </row>
    <row r="219" spans="1:2">
      <c r="A219" t="s">
        <v>467</v>
      </c>
      <c r="B219">
        <v>141268.59</v>
      </c>
    </row>
    <row r="220" spans="1:2">
      <c r="A220" t="s">
        <v>469</v>
      </c>
      <c r="B220">
        <v>51875.72</v>
      </c>
    </row>
    <row r="221" spans="1:2">
      <c r="A221" t="s">
        <v>471</v>
      </c>
      <c r="B221">
        <v>215699.62</v>
      </c>
    </row>
    <row r="222" spans="1:2">
      <c r="A222" t="s">
        <v>473</v>
      </c>
      <c r="B222">
        <v>419736.35</v>
      </c>
    </row>
    <row r="223" spans="1:2">
      <c r="A223" t="s">
        <v>475</v>
      </c>
      <c r="B223">
        <v>9796.35</v>
      </c>
    </row>
    <row r="224" spans="1:2">
      <c r="A224" t="s">
        <v>477</v>
      </c>
      <c r="B224">
        <v>16946.830000000002</v>
      </c>
    </row>
    <row r="225" spans="1:2">
      <c r="A225" t="s">
        <v>479</v>
      </c>
      <c r="B225">
        <v>16397.07</v>
      </c>
    </row>
    <row r="226" spans="1:2">
      <c r="A226" t="s">
        <v>481</v>
      </c>
      <c r="B226">
        <v>253067.18</v>
      </c>
    </row>
    <row r="227" spans="1:2">
      <c r="A227" t="s">
        <v>483</v>
      </c>
      <c r="B227">
        <v>223696.11</v>
      </c>
    </row>
    <row r="228" spans="1:2">
      <c r="A228" t="s">
        <v>485</v>
      </c>
      <c r="B228">
        <v>131799.94</v>
      </c>
    </row>
    <row r="229" spans="1:2">
      <c r="A229" t="s">
        <v>488</v>
      </c>
      <c r="B229">
        <v>109921.3</v>
      </c>
    </row>
    <row r="230" spans="1:2">
      <c r="A230" t="s">
        <v>490</v>
      </c>
      <c r="B230">
        <v>7653.42</v>
      </c>
    </row>
    <row r="231" spans="1:2">
      <c r="A231" t="s">
        <v>492</v>
      </c>
      <c r="B231">
        <v>325077.46999999997</v>
      </c>
    </row>
    <row r="232" spans="1:2">
      <c r="A232" t="s">
        <v>495</v>
      </c>
      <c r="B232">
        <v>1557510.67</v>
      </c>
    </row>
    <row r="233" spans="1:2">
      <c r="A233" t="s">
        <v>497</v>
      </c>
      <c r="B233">
        <v>66408.319999999992</v>
      </c>
    </row>
    <row r="234" spans="1:2">
      <c r="A234" t="s">
        <v>500</v>
      </c>
      <c r="B234">
        <v>41158.97</v>
      </c>
    </row>
    <row r="235" spans="1:2">
      <c r="A235" t="s">
        <v>503</v>
      </c>
      <c r="B235">
        <v>45357.13</v>
      </c>
    </row>
    <row r="236" spans="1:2">
      <c r="A236" t="s">
        <v>505</v>
      </c>
      <c r="B236">
        <v>5000</v>
      </c>
    </row>
    <row r="237" spans="1:2">
      <c r="A237" t="s">
        <v>507</v>
      </c>
      <c r="B237">
        <v>26833.61</v>
      </c>
    </row>
    <row r="238" spans="1:2">
      <c r="A238" t="s">
        <v>510</v>
      </c>
      <c r="B238">
        <v>38764.53</v>
      </c>
    </row>
    <row r="239" spans="1:2">
      <c r="A239" t="s">
        <v>512</v>
      </c>
      <c r="B239">
        <v>54158.55</v>
      </c>
    </row>
    <row r="240" spans="1:2">
      <c r="A240" t="s">
        <v>517</v>
      </c>
      <c r="B240">
        <v>625108.14</v>
      </c>
    </row>
    <row r="241" spans="1:2">
      <c r="A241" t="s">
        <v>519</v>
      </c>
      <c r="B241">
        <v>243616.13</v>
      </c>
    </row>
    <row r="242" spans="1:2">
      <c r="A242" t="s">
        <v>521</v>
      </c>
      <c r="B242">
        <v>18097.93</v>
      </c>
    </row>
    <row r="243" spans="1:2">
      <c r="A243" t="s">
        <v>523</v>
      </c>
      <c r="B243">
        <v>101661.84</v>
      </c>
    </row>
    <row r="244" spans="1:2">
      <c r="A244" t="s">
        <v>526</v>
      </c>
      <c r="B244">
        <v>226820.5</v>
      </c>
    </row>
    <row r="245" spans="1:2">
      <c r="A245" t="s">
        <v>528</v>
      </c>
      <c r="B245">
        <v>46988.3</v>
      </c>
    </row>
    <row r="246" spans="1:2">
      <c r="A246" t="s">
        <v>530</v>
      </c>
      <c r="B246">
        <v>566448.76</v>
      </c>
    </row>
    <row r="247" spans="1:2">
      <c r="A247" t="s">
        <v>533</v>
      </c>
      <c r="B247">
        <v>609840.86</v>
      </c>
    </row>
    <row r="248" spans="1:2">
      <c r="A248" t="s">
        <v>535</v>
      </c>
      <c r="B248">
        <v>37323.97</v>
      </c>
    </row>
    <row r="249" spans="1:2">
      <c r="A249" t="s">
        <v>537</v>
      </c>
      <c r="B249">
        <v>522811.22</v>
      </c>
    </row>
    <row r="250" spans="1:2">
      <c r="A250" t="s">
        <v>539</v>
      </c>
      <c r="B250">
        <v>17793.82</v>
      </c>
    </row>
    <row r="251" spans="1:2">
      <c r="A251" t="s">
        <v>542</v>
      </c>
      <c r="B251">
        <v>147261.79</v>
      </c>
    </row>
    <row r="252" spans="1:2">
      <c r="A252" t="s">
        <v>544</v>
      </c>
      <c r="B252">
        <v>42470.17</v>
      </c>
    </row>
    <row r="253" spans="1:2">
      <c r="A253" t="s">
        <v>546</v>
      </c>
      <c r="B253">
        <v>58690.27</v>
      </c>
    </row>
    <row r="254" spans="1:2">
      <c r="A254" t="s">
        <v>548</v>
      </c>
      <c r="B254">
        <v>24759.01</v>
      </c>
    </row>
    <row r="255" spans="1:2">
      <c r="A255" t="s">
        <v>551</v>
      </c>
      <c r="B255">
        <v>488192.55</v>
      </c>
    </row>
    <row r="256" spans="1:2">
      <c r="A256" t="s">
        <v>553</v>
      </c>
      <c r="B256">
        <v>229366.23</v>
      </c>
    </row>
    <row r="257" spans="1:2">
      <c r="A257" t="s">
        <v>555</v>
      </c>
      <c r="B257">
        <v>16452.52</v>
      </c>
    </row>
    <row r="258" spans="1:2">
      <c r="A258" t="s">
        <v>557</v>
      </c>
      <c r="B258">
        <v>411018.77</v>
      </c>
    </row>
    <row r="259" spans="1:2">
      <c r="A259" t="s">
        <v>559</v>
      </c>
      <c r="B259">
        <v>218343.87</v>
      </c>
    </row>
    <row r="260" spans="1:2">
      <c r="A260" t="s">
        <v>561</v>
      </c>
      <c r="B260">
        <v>176950.66</v>
      </c>
    </row>
    <row r="261" spans="1:2">
      <c r="A261" t="s">
        <v>563</v>
      </c>
      <c r="B261">
        <v>78205.259999999995</v>
      </c>
    </row>
    <row r="262" spans="1:2">
      <c r="A262" t="s">
        <v>566</v>
      </c>
      <c r="B262">
        <v>506419.23</v>
      </c>
    </row>
    <row r="263" spans="1:2">
      <c r="A263" t="s">
        <v>568</v>
      </c>
      <c r="B263">
        <v>28530.01</v>
      </c>
    </row>
    <row r="264" spans="1:2">
      <c r="A264" t="s">
        <v>570</v>
      </c>
      <c r="B264">
        <v>246367.13999999998</v>
      </c>
    </row>
    <row r="265" spans="1:2">
      <c r="A265" t="s">
        <v>572</v>
      </c>
      <c r="B265">
        <v>68309.67</v>
      </c>
    </row>
    <row r="266" spans="1:2">
      <c r="A266" t="s">
        <v>575</v>
      </c>
      <c r="B266">
        <v>585486.89</v>
      </c>
    </row>
    <row r="267" spans="1:2">
      <c r="A267" t="s">
        <v>577</v>
      </c>
      <c r="B267">
        <v>211158.1</v>
      </c>
    </row>
    <row r="268" spans="1:2">
      <c r="A268" t="s">
        <v>579</v>
      </c>
      <c r="B268">
        <v>98827.04</v>
      </c>
    </row>
    <row r="269" spans="1:2">
      <c r="A269" t="s">
        <v>581</v>
      </c>
      <c r="B269">
        <v>122450.14</v>
      </c>
    </row>
    <row r="270" spans="1:2">
      <c r="A270" t="s">
        <v>584</v>
      </c>
      <c r="B270">
        <v>30601.48</v>
      </c>
    </row>
    <row r="271" spans="1:2">
      <c r="A271" t="s">
        <v>586</v>
      </c>
      <c r="B271">
        <v>108277.02</v>
      </c>
    </row>
    <row r="272" spans="1:2">
      <c r="A272" t="s">
        <v>588</v>
      </c>
      <c r="B272">
        <v>711380.09</v>
      </c>
    </row>
    <row r="273" spans="1:2">
      <c r="A273" t="s">
        <v>590</v>
      </c>
      <c r="B273">
        <v>38570.660000000003</v>
      </c>
    </row>
    <row r="274" spans="1:2">
      <c r="A274" t="s">
        <v>592</v>
      </c>
      <c r="B274">
        <v>17921.080000000002</v>
      </c>
    </row>
    <row r="275" spans="1:2">
      <c r="A275" t="s">
        <v>594</v>
      </c>
      <c r="B275">
        <v>36439.1</v>
      </c>
    </row>
    <row r="276" spans="1:2">
      <c r="A276" t="s">
        <v>597</v>
      </c>
      <c r="B276">
        <v>13268</v>
      </c>
    </row>
    <row r="277" spans="1:2">
      <c r="A277" t="s">
        <v>599</v>
      </c>
      <c r="B277">
        <v>54964</v>
      </c>
    </row>
    <row r="278" spans="1:2">
      <c r="A278" t="s">
        <v>601</v>
      </c>
      <c r="B278">
        <v>87605.84</v>
      </c>
    </row>
    <row r="279" spans="1:2">
      <c r="A279" t="s">
        <v>603</v>
      </c>
      <c r="B279">
        <v>9196.1</v>
      </c>
    </row>
    <row r="280" spans="1:2">
      <c r="A280" t="s">
        <v>605</v>
      </c>
      <c r="B280">
        <v>41256.92</v>
      </c>
    </row>
    <row r="281" spans="1:2">
      <c r="A281" t="s">
        <v>607</v>
      </c>
      <c r="B281">
        <v>72866.47</v>
      </c>
    </row>
    <row r="282" spans="1:2">
      <c r="A282" t="s">
        <v>612</v>
      </c>
      <c r="B282">
        <v>655936.48</v>
      </c>
    </row>
    <row r="283" spans="1:2">
      <c r="A283" t="s">
        <v>614</v>
      </c>
      <c r="B283">
        <v>336349.29</v>
      </c>
    </row>
    <row r="284" spans="1:2">
      <c r="A284" t="s">
        <v>616</v>
      </c>
      <c r="B284">
        <v>386325.93</v>
      </c>
    </row>
    <row r="285" spans="1:2">
      <c r="A285" t="s">
        <v>618</v>
      </c>
      <c r="B285">
        <v>16221.98</v>
      </c>
    </row>
    <row r="286" spans="1:2">
      <c r="A286" t="s">
        <v>620</v>
      </c>
      <c r="B286">
        <v>38153.14</v>
      </c>
    </row>
    <row r="287" spans="1:2">
      <c r="A287" t="s">
        <v>622</v>
      </c>
      <c r="B287">
        <v>88761.600000000006</v>
      </c>
    </row>
    <row r="288" spans="1:2">
      <c r="A288" t="s">
        <v>624</v>
      </c>
      <c r="B288">
        <v>19219.68</v>
      </c>
    </row>
    <row r="289" spans="1:2">
      <c r="A289" t="s">
        <v>626</v>
      </c>
      <c r="B289">
        <v>19898.36</v>
      </c>
    </row>
    <row r="290" spans="1:2">
      <c r="A290" t="s">
        <v>628</v>
      </c>
      <c r="B290">
        <v>33835.75</v>
      </c>
    </row>
    <row r="291" spans="1:2">
      <c r="A291" t="s">
        <v>631</v>
      </c>
      <c r="B291">
        <v>808642.48</v>
      </c>
    </row>
    <row r="292" spans="1:2">
      <c r="A292" t="s">
        <v>633</v>
      </c>
      <c r="B292">
        <v>87086.32</v>
      </c>
    </row>
    <row r="293" spans="1:2">
      <c r="A293" t="s">
        <v>635</v>
      </c>
      <c r="B293">
        <v>102781.27</v>
      </c>
    </row>
    <row r="294" spans="1:2">
      <c r="A294" t="s">
        <v>637</v>
      </c>
      <c r="B294">
        <v>1294923.4099999999</v>
      </c>
    </row>
    <row r="295" spans="1:2">
      <c r="A295" t="s">
        <v>639</v>
      </c>
      <c r="B295">
        <v>237230.16000000003</v>
      </c>
    </row>
    <row r="296" spans="1:2">
      <c r="A296" t="s">
        <v>641</v>
      </c>
      <c r="B296">
        <v>136322.79</v>
      </c>
    </row>
    <row r="297" spans="1:2">
      <c r="A297" t="s">
        <v>643</v>
      </c>
      <c r="B297">
        <v>17355.169999999998</v>
      </c>
    </row>
    <row r="298" spans="1:2">
      <c r="A298" t="s">
        <v>645</v>
      </c>
      <c r="B298">
        <v>236447.9</v>
      </c>
    </row>
    <row r="299" spans="1:2">
      <c r="A299" t="s">
        <v>648</v>
      </c>
      <c r="B299">
        <v>169497.53</v>
      </c>
    </row>
    <row r="300" spans="1:2">
      <c r="A300" t="s">
        <v>650</v>
      </c>
      <c r="B300">
        <v>206904.17</v>
      </c>
    </row>
    <row r="301" spans="1:2">
      <c r="A301" t="s">
        <v>652</v>
      </c>
      <c r="B301">
        <v>155512.31</v>
      </c>
    </row>
    <row r="302" spans="1:2">
      <c r="A302" t="s">
        <v>655</v>
      </c>
      <c r="B302">
        <v>152188.01</v>
      </c>
    </row>
    <row r="303" spans="1:2">
      <c r="A303" t="s">
        <v>657</v>
      </c>
      <c r="B303">
        <v>399908.67000000004</v>
      </c>
    </row>
    <row r="304" spans="1:2">
      <c r="A304" t="s">
        <v>659</v>
      </c>
      <c r="B304">
        <v>71059.240000000005</v>
      </c>
    </row>
    <row r="305" spans="1:2">
      <c r="A305" t="s">
        <v>661</v>
      </c>
      <c r="B305">
        <v>55008.9</v>
      </c>
    </row>
    <row r="306" spans="1:2">
      <c r="A306" t="s">
        <v>663</v>
      </c>
      <c r="B306">
        <v>119396.54</v>
      </c>
    </row>
    <row r="307" spans="1:2">
      <c r="A307" t="s">
        <v>665</v>
      </c>
      <c r="B307">
        <v>12313.21</v>
      </c>
    </row>
    <row r="308" spans="1:2">
      <c r="A308" t="s">
        <v>667</v>
      </c>
      <c r="B308">
        <v>359190.45</v>
      </c>
    </row>
    <row r="309" spans="1:2">
      <c r="A309" t="s">
        <v>669</v>
      </c>
      <c r="B309">
        <v>17505.68</v>
      </c>
    </row>
    <row r="310" spans="1:2">
      <c r="A310" t="s">
        <v>671</v>
      </c>
      <c r="B310">
        <v>26574.880000000001</v>
      </c>
    </row>
    <row r="311" spans="1:2">
      <c r="A311" t="s">
        <v>673</v>
      </c>
      <c r="B311">
        <v>573914.59</v>
      </c>
    </row>
    <row r="312" spans="1:2">
      <c r="A312" t="s">
        <v>675</v>
      </c>
      <c r="B312">
        <v>360816.52</v>
      </c>
    </row>
    <row r="313" spans="1:2">
      <c r="A313" t="s">
        <v>677</v>
      </c>
      <c r="B313">
        <v>369787.78</v>
      </c>
    </row>
    <row r="314" spans="1:2">
      <c r="A314" t="s">
        <v>679</v>
      </c>
      <c r="B314">
        <v>302335.93</v>
      </c>
    </row>
    <row r="315" spans="1:2">
      <c r="A315" t="s">
        <v>681</v>
      </c>
      <c r="B315">
        <v>32520.14</v>
      </c>
    </row>
    <row r="316" spans="1:2">
      <c r="A316" t="s">
        <v>683</v>
      </c>
      <c r="B316">
        <v>25528.31</v>
      </c>
    </row>
    <row r="317" spans="1:2">
      <c r="A317" t="s">
        <v>685</v>
      </c>
      <c r="B317">
        <v>13505.42</v>
      </c>
    </row>
    <row r="318" spans="1:2">
      <c r="A318" t="s">
        <v>687</v>
      </c>
      <c r="B318">
        <v>141860.72</v>
      </c>
    </row>
    <row r="319" spans="1:2">
      <c r="A319" t="s">
        <v>689</v>
      </c>
      <c r="B319">
        <v>35377</v>
      </c>
    </row>
    <row r="320" spans="1:2">
      <c r="A320" t="s">
        <v>691</v>
      </c>
      <c r="B320">
        <v>16275.39</v>
      </c>
    </row>
    <row r="321" spans="1:2">
      <c r="A321" t="s">
        <v>693</v>
      </c>
      <c r="B321">
        <v>67916.160000000003</v>
      </c>
    </row>
    <row r="322" spans="1:2">
      <c r="A322" t="s">
        <v>695</v>
      </c>
      <c r="B322">
        <v>322563.78999999998</v>
      </c>
    </row>
    <row r="323" spans="1:2">
      <c r="A323" t="s">
        <v>697</v>
      </c>
      <c r="B323">
        <v>514559.58</v>
      </c>
    </row>
    <row r="324" spans="1:2">
      <c r="A324" t="s">
        <v>699</v>
      </c>
      <c r="B324">
        <v>155186.15</v>
      </c>
    </row>
    <row r="325" spans="1:2">
      <c r="A325" t="s">
        <v>701</v>
      </c>
      <c r="B325">
        <v>248734.52</v>
      </c>
    </row>
    <row r="326" spans="1:2">
      <c r="A326" t="s">
        <v>703</v>
      </c>
      <c r="B326">
        <v>26462.21</v>
      </c>
    </row>
    <row r="327" spans="1:2">
      <c r="A327" t="s">
        <v>705</v>
      </c>
      <c r="B327">
        <v>1111833.3600000001</v>
      </c>
    </row>
    <row r="328" spans="1:2">
      <c r="A328" t="s">
        <v>708</v>
      </c>
      <c r="B328">
        <v>203171.98</v>
      </c>
    </row>
    <row r="329" spans="1:2">
      <c r="A329" t="s">
        <v>710</v>
      </c>
      <c r="B329">
        <v>723269.46</v>
      </c>
    </row>
    <row r="330" spans="1:2">
      <c r="A330" t="s">
        <v>712</v>
      </c>
      <c r="B330">
        <v>154998.49</v>
      </c>
    </row>
    <row r="331" spans="1:2">
      <c r="A331" t="s">
        <v>714</v>
      </c>
      <c r="B331">
        <v>211622.69</v>
      </c>
    </row>
    <row r="332" spans="1:2">
      <c r="A332" t="s">
        <v>716</v>
      </c>
      <c r="B332">
        <v>37979.32</v>
      </c>
    </row>
    <row r="333" spans="1:2">
      <c r="A333" t="s">
        <v>718</v>
      </c>
      <c r="B333">
        <v>17644.830000000002</v>
      </c>
    </row>
    <row r="334" spans="1:2">
      <c r="A334" t="s">
        <v>720</v>
      </c>
      <c r="B334">
        <v>92003.41</v>
      </c>
    </row>
    <row r="335" spans="1:2">
      <c r="A335" t="s">
        <v>722</v>
      </c>
      <c r="B335">
        <v>538237.46</v>
      </c>
    </row>
    <row r="336" spans="1:2">
      <c r="A336" t="s">
        <v>724</v>
      </c>
      <c r="B336">
        <v>517006.79</v>
      </c>
    </row>
    <row r="337" spans="1:2">
      <c r="A337" t="s">
        <v>726</v>
      </c>
      <c r="B337">
        <v>6057.69</v>
      </c>
    </row>
    <row r="338" spans="1:2">
      <c r="A338" t="s">
        <v>728</v>
      </c>
      <c r="B338">
        <v>8650.16</v>
      </c>
    </row>
    <row r="339" spans="1:2">
      <c r="A339" t="s">
        <v>730</v>
      </c>
      <c r="B339">
        <v>173658.23</v>
      </c>
    </row>
    <row r="340" spans="1:2">
      <c r="A340" t="s">
        <v>732</v>
      </c>
      <c r="B340">
        <v>37034.230000000003</v>
      </c>
    </row>
    <row r="341" spans="1:2">
      <c r="A341" t="s">
        <v>734</v>
      </c>
      <c r="B341">
        <v>60904.119999999995</v>
      </c>
    </row>
    <row r="342" spans="1:2">
      <c r="A342" t="s">
        <v>736</v>
      </c>
      <c r="B342">
        <v>171740.68</v>
      </c>
    </row>
    <row r="343" spans="1:2">
      <c r="A343" t="s">
        <v>739</v>
      </c>
      <c r="B343">
        <v>26909.599999999999</v>
      </c>
    </row>
    <row r="344" spans="1:2">
      <c r="A344" t="s">
        <v>741</v>
      </c>
      <c r="B344">
        <v>166750.28</v>
      </c>
    </row>
    <row r="345" spans="1:2">
      <c r="A345" t="s">
        <v>743</v>
      </c>
      <c r="B345">
        <v>63191.59</v>
      </c>
    </row>
    <row r="346" spans="1:2">
      <c r="A346" t="s">
        <v>745</v>
      </c>
      <c r="B346">
        <v>423363.86</v>
      </c>
    </row>
    <row r="347" spans="1:2">
      <c r="A347" t="s">
        <v>747</v>
      </c>
      <c r="B347">
        <v>481903</v>
      </c>
    </row>
    <row r="348" spans="1:2">
      <c r="A348" t="s">
        <v>749</v>
      </c>
      <c r="B348">
        <v>55275.25</v>
      </c>
    </row>
    <row r="349" spans="1:2">
      <c r="A349" t="s">
        <v>751</v>
      </c>
      <c r="B349">
        <v>366144.21</v>
      </c>
    </row>
    <row r="350" spans="1:2">
      <c r="A350" t="s">
        <v>753</v>
      </c>
      <c r="B350">
        <v>357640.18</v>
      </c>
    </row>
    <row r="351" spans="1:2">
      <c r="A351" t="s">
        <v>755</v>
      </c>
      <c r="B351">
        <v>384808.61</v>
      </c>
    </row>
    <row r="352" spans="1:2">
      <c r="A352" t="s">
        <v>757</v>
      </c>
      <c r="B352">
        <v>98726.41</v>
      </c>
    </row>
    <row r="353" spans="1:2">
      <c r="A353" t="s">
        <v>760</v>
      </c>
      <c r="B353">
        <v>752967.43</v>
      </c>
    </row>
    <row r="354" spans="1:2">
      <c r="A354" t="s">
        <v>763</v>
      </c>
      <c r="B354">
        <v>69765.63</v>
      </c>
    </row>
    <row r="355" spans="1:2">
      <c r="A355" t="s">
        <v>766</v>
      </c>
      <c r="B355">
        <v>6266.77</v>
      </c>
    </row>
    <row r="356" spans="1:2">
      <c r="A356" t="s">
        <v>768</v>
      </c>
      <c r="B356">
        <v>223127.7</v>
      </c>
    </row>
    <row r="357" spans="1:2">
      <c r="A357" t="s">
        <v>770</v>
      </c>
      <c r="B357">
        <v>61945.77</v>
      </c>
    </row>
    <row r="358" spans="1:2">
      <c r="A358" t="s">
        <v>772</v>
      </c>
      <c r="B358">
        <v>2000000</v>
      </c>
    </row>
    <row r="359" spans="1:2">
      <c r="A359" t="s">
        <v>774</v>
      </c>
      <c r="B359">
        <v>70668.34</v>
      </c>
    </row>
    <row r="360" spans="1:2">
      <c r="A360" t="s">
        <v>776</v>
      </c>
      <c r="B360">
        <v>181391.09</v>
      </c>
    </row>
    <row r="361" spans="1:2">
      <c r="A361" t="s">
        <v>779</v>
      </c>
      <c r="B361">
        <v>1951616.33</v>
      </c>
    </row>
    <row r="362" spans="1:2">
      <c r="A362" t="s">
        <v>781</v>
      </c>
      <c r="B362">
        <v>21386.95</v>
      </c>
    </row>
    <row r="363" spans="1:2">
      <c r="A363" t="s">
        <v>783</v>
      </c>
      <c r="B363">
        <v>74545.5</v>
      </c>
    </row>
    <row r="364" spans="1:2">
      <c r="A364" t="s">
        <v>785</v>
      </c>
      <c r="B364">
        <v>176179.18</v>
      </c>
    </row>
    <row r="365" spans="1:2">
      <c r="A365" t="s">
        <v>787</v>
      </c>
      <c r="B365">
        <v>463034.48</v>
      </c>
    </row>
    <row r="366" spans="1:2">
      <c r="A366" t="s">
        <v>789</v>
      </c>
      <c r="B366">
        <v>32299.58</v>
      </c>
    </row>
    <row r="367" spans="1:2">
      <c r="A367" t="s">
        <v>791</v>
      </c>
      <c r="B367">
        <v>11381.85</v>
      </c>
    </row>
    <row r="368" spans="1:2">
      <c r="A368" t="s">
        <v>793</v>
      </c>
      <c r="B368">
        <v>16966.86</v>
      </c>
    </row>
    <row r="369" spans="1:2">
      <c r="A369" t="s">
        <v>795</v>
      </c>
      <c r="B369">
        <v>91123.040000000008</v>
      </c>
    </row>
    <row r="370" spans="1:2">
      <c r="A370" t="s">
        <v>797</v>
      </c>
      <c r="B370">
        <v>36723.67</v>
      </c>
    </row>
    <row r="371" spans="1:2">
      <c r="A371" t="s">
        <v>799</v>
      </c>
      <c r="B371">
        <v>364899.62</v>
      </c>
    </row>
    <row r="372" spans="1:2">
      <c r="A372" t="s">
        <v>801</v>
      </c>
      <c r="B372">
        <v>22789.25</v>
      </c>
    </row>
    <row r="373" spans="1:2">
      <c r="A373" t="s">
        <v>803</v>
      </c>
      <c r="B373">
        <v>693940.42</v>
      </c>
    </row>
    <row r="374" spans="1:2">
      <c r="A374" t="s">
        <v>805</v>
      </c>
      <c r="B374">
        <v>5000</v>
      </c>
    </row>
    <row r="375" spans="1:2">
      <c r="A375" t="s">
        <v>807</v>
      </c>
      <c r="B375">
        <v>36259.97</v>
      </c>
    </row>
    <row r="376" spans="1:2">
      <c r="A376" t="s">
        <v>809</v>
      </c>
      <c r="B376">
        <v>219741.5</v>
      </c>
    </row>
    <row r="377" spans="1:2">
      <c r="A377" t="s">
        <v>812</v>
      </c>
      <c r="B377">
        <v>235026.79</v>
      </c>
    </row>
    <row r="378" spans="1:2">
      <c r="A378" t="s">
        <v>814</v>
      </c>
      <c r="B378">
        <v>27601.71</v>
      </c>
    </row>
    <row r="379" spans="1:2">
      <c r="A379" t="s">
        <v>816</v>
      </c>
      <c r="B379">
        <v>393521.8</v>
      </c>
    </row>
    <row r="380" spans="1:2">
      <c r="A380" t="s">
        <v>819</v>
      </c>
      <c r="B380">
        <v>79679.97</v>
      </c>
    </row>
    <row r="381" spans="1:2">
      <c r="A381" t="s">
        <v>822</v>
      </c>
      <c r="B381">
        <v>214527.84</v>
      </c>
    </row>
    <row r="382" spans="1:2">
      <c r="A382" t="s">
        <v>824</v>
      </c>
      <c r="B382">
        <v>414974.36</v>
      </c>
    </row>
    <row r="383" spans="1:2">
      <c r="A383" t="s">
        <v>827</v>
      </c>
      <c r="B383">
        <v>19411.3</v>
      </c>
    </row>
    <row r="384" spans="1:2">
      <c r="A384" t="s">
        <v>829</v>
      </c>
      <c r="B384">
        <v>1150048.8999999999</v>
      </c>
    </row>
    <row r="385" spans="1:2">
      <c r="A385" t="s">
        <v>831</v>
      </c>
      <c r="B385">
        <v>31952.76</v>
      </c>
    </row>
    <row r="386" spans="1:2">
      <c r="A386" t="s">
        <v>833</v>
      </c>
      <c r="B386">
        <v>22799.34</v>
      </c>
    </row>
    <row r="387" spans="1:2">
      <c r="A387" t="s">
        <v>835</v>
      </c>
      <c r="B387">
        <v>236969.68</v>
      </c>
    </row>
    <row r="388" spans="1:2">
      <c r="A388" t="s">
        <v>837</v>
      </c>
      <c r="B388">
        <v>106916.59</v>
      </c>
    </row>
    <row r="389" spans="1:2">
      <c r="A389" t="s">
        <v>839</v>
      </c>
      <c r="B389">
        <v>1495716.75</v>
      </c>
    </row>
    <row r="390" spans="1:2">
      <c r="A390" t="s">
        <v>841</v>
      </c>
      <c r="B390">
        <v>32304.240000000002</v>
      </c>
    </row>
    <row r="391" spans="1:2">
      <c r="A391" t="s">
        <v>843</v>
      </c>
      <c r="B391">
        <v>347472.81</v>
      </c>
    </row>
    <row r="392" spans="1:2">
      <c r="A392" t="s">
        <v>845</v>
      </c>
      <c r="B392">
        <v>248265.55</v>
      </c>
    </row>
    <row r="393" spans="1:2">
      <c r="A393" t="s">
        <v>848</v>
      </c>
      <c r="B393">
        <v>62011.81</v>
      </c>
    </row>
    <row r="394" spans="1:2">
      <c r="A394" t="s">
        <v>850</v>
      </c>
      <c r="B394">
        <v>73398.319999999992</v>
      </c>
    </row>
    <row r="395" spans="1:2">
      <c r="A395" t="s">
        <v>852</v>
      </c>
      <c r="B395">
        <v>67324.829999999987</v>
      </c>
    </row>
    <row r="396" spans="1:2">
      <c r="A396" t="s">
        <v>854</v>
      </c>
      <c r="B396">
        <v>381372.92</v>
      </c>
    </row>
    <row r="397" spans="1:2">
      <c r="A397" t="s">
        <v>856</v>
      </c>
      <c r="B397">
        <v>217081.93</v>
      </c>
    </row>
    <row r="398" spans="1:2">
      <c r="A398" t="s">
        <v>858</v>
      </c>
      <c r="B398">
        <v>367756.17</v>
      </c>
    </row>
    <row r="399" spans="1:2">
      <c r="A399" t="s">
        <v>860</v>
      </c>
      <c r="B399">
        <v>441729.15</v>
      </c>
    </row>
    <row r="400" spans="1:2">
      <c r="A400" t="s">
        <v>862</v>
      </c>
      <c r="B400">
        <v>127545.42</v>
      </c>
    </row>
    <row r="401" spans="1:2">
      <c r="A401" t="s">
        <v>864</v>
      </c>
      <c r="B401">
        <v>629754.71</v>
      </c>
    </row>
    <row r="402" spans="1:2">
      <c r="A402" t="s">
        <v>866</v>
      </c>
      <c r="B402">
        <v>88403.66</v>
      </c>
    </row>
    <row r="403" spans="1:2">
      <c r="A403" t="s">
        <v>868</v>
      </c>
      <c r="B403">
        <v>15743.8</v>
      </c>
    </row>
    <row r="404" spans="1:2">
      <c r="A404" t="s">
        <v>870</v>
      </c>
      <c r="B404">
        <v>25928.639999999999</v>
      </c>
    </row>
    <row r="405" spans="1:2">
      <c r="A405" t="s">
        <v>872</v>
      </c>
      <c r="B405">
        <v>62714.21</v>
      </c>
    </row>
    <row r="406" spans="1:2">
      <c r="A406" t="s">
        <v>874</v>
      </c>
      <c r="B406">
        <v>46852.58</v>
      </c>
    </row>
    <row r="407" spans="1:2">
      <c r="A407" t="s">
        <v>876</v>
      </c>
      <c r="B407">
        <v>188316.16</v>
      </c>
    </row>
    <row r="408" spans="1:2">
      <c r="A408" t="s">
        <v>878</v>
      </c>
      <c r="B408">
        <v>99141.17</v>
      </c>
    </row>
    <row r="409" spans="1:2">
      <c r="A409" t="s">
        <v>880</v>
      </c>
      <c r="B409">
        <v>376336.97</v>
      </c>
    </row>
    <row r="410" spans="1:2">
      <c r="A410" t="s">
        <v>882</v>
      </c>
      <c r="B410">
        <v>2000000</v>
      </c>
    </row>
    <row r="411" spans="1:2">
      <c r="A411" t="s">
        <v>884</v>
      </c>
      <c r="B411">
        <v>693618.24</v>
      </c>
    </row>
    <row r="412" spans="1:2">
      <c r="A412" t="s">
        <v>886</v>
      </c>
      <c r="B412">
        <v>1014618.66</v>
      </c>
    </row>
    <row r="413" spans="1:2">
      <c r="A413" t="s">
        <v>888</v>
      </c>
      <c r="B413">
        <v>43707.519999999997</v>
      </c>
    </row>
    <row r="414" spans="1:2">
      <c r="A414" t="s">
        <v>890</v>
      </c>
      <c r="B414">
        <v>42357.94</v>
      </c>
    </row>
    <row r="415" spans="1:2">
      <c r="A415" t="s">
        <v>892</v>
      </c>
      <c r="B415">
        <v>52923.07</v>
      </c>
    </row>
    <row r="416" spans="1:2">
      <c r="A416" t="s">
        <v>894</v>
      </c>
      <c r="B416">
        <v>61381.15</v>
      </c>
    </row>
    <row r="417" spans="1:2">
      <c r="A417" t="s">
        <v>896</v>
      </c>
      <c r="B417">
        <v>287171.09000000003</v>
      </c>
    </row>
    <row r="418" spans="1:2">
      <c r="A418" t="s">
        <v>898</v>
      </c>
      <c r="B418">
        <v>12340.39</v>
      </c>
    </row>
    <row r="419" spans="1:2">
      <c r="A419" t="s">
        <v>900</v>
      </c>
      <c r="B419">
        <v>233623.98</v>
      </c>
    </row>
    <row r="420" spans="1:2">
      <c r="A420" t="s">
        <v>903</v>
      </c>
      <c r="B420">
        <v>280496.21000000002</v>
      </c>
    </row>
    <row r="421" spans="1:2">
      <c r="A421" t="s">
        <v>905</v>
      </c>
      <c r="B421">
        <v>62629.440000000002</v>
      </c>
    </row>
    <row r="422" spans="1:2">
      <c r="A422" t="s">
        <v>908</v>
      </c>
      <c r="B422">
        <v>1061018.58</v>
      </c>
    </row>
    <row r="423" spans="1:2">
      <c r="A423" t="s">
        <v>910</v>
      </c>
      <c r="B423">
        <v>205074.12</v>
      </c>
    </row>
    <row r="424" spans="1:2">
      <c r="A424" t="s">
        <v>912</v>
      </c>
      <c r="B424">
        <v>265875.95</v>
      </c>
    </row>
    <row r="425" spans="1:2">
      <c r="A425" t="s">
        <v>914</v>
      </c>
      <c r="B425">
        <v>226596.1</v>
      </c>
    </row>
    <row r="426" spans="1:2">
      <c r="A426" t="s">
        <v>916</v>
      </c>
      <c r="B426">
        <v>5017.12</v>
      </c>
    </row>
    <row r="427" spans="1:2">
      <c r="A427" t="s">
        <v>918</v>
      </c>
      <c r="B427">
        <v>6795.51</v>
      </c>
    </row>
    <row r="428" spans="1:2">
      <c r="A428" t="s">
        <v>920</v>
      </c>
      <c r="B428">
        <v>71936.479999999996</v>
      </c>
    </row>
    <row r="429" spans="1:2">
      <c r="A429" t="s">
        <v>922</v>
      </c>
      <c r="B429">
        <v>40968.880000000005</v>
      </c>
    </row>
    <row r="430" spans="1:2">
      <c r="A430" t="s">
        <v>924</v>
      </c>
      <c r="B430">
        <v>200270.59</v>
      </c>
    </row>
    <row r="431" spans="1:2">
      <c r="A431" t="s">
        <v>926</v>
      </c>
      <c r="B431">
        <v>804378.14</v>
      </c>
    </row>
    <row r="432" spans="1:2">
      <c r="A432" t="s">
        <v>928</v>
      </c>
      <c r="B432">
        <v>32175.37</v>
      </c>
    </row>
    <row r="433" spans="1:2">
      <c r="A433" t="s">
        <v>930</v>
      </c>
      <c r="B433">
        <v>903112.74</v>
      </c>
    </row>
    <row r="434" spans="1:2">
      <c r="A434" t="s">
        <v>932</v>
      </c>
      <c r="B434">
        <v>168201.88</v>
      </c>
    </row>
    <row r="435" spans="1:2">
      <c r="A435" t="s">
        <v>934</v>
      </c>
      <c r="B435">
        <v>231039.14</v>
      </c>
    </row>
    <row r="436" spans="1:2">
      <c r="A436" t="s">
        <v>936</v>
      </c>
      <c r="B436">
        <v>177914.98</v>
      </c>
    </row>
    <row r="437" spans="1:2">
      <c r="A437" t="s">
        <v>938</v>
      </c>
      <c r="B437">
        <v>428875.04</v>
      </c>
    </row>
    <row r="438" spans="1:2">
      <c r="A438" t="s">
        <v>940</v>
      </c>
      <c r="B438">
        <v>65844.84</v>
      </c>
    </row>
    <row r="439" spans="1:2">
      <c r="A439" t="s">
        <v>942</v>
      </c>
      <c r="B439">
        <v>104785.76</v>
      </c>
    </row>
    <row r="440" spans="1:2">
      <c r="A440" t="s">
        <v>944</v>
      </c>
      <c r="B440">
        <v>156706.29999999999</v>
      </c>
    </row>
    <row r="441" spans="1:2">
      <c r="A441" t="s">
        <v>946</v>
      </c>
      <c r="B441">
        <v>116698.12</v>
      </c>
    </row>
    <row r="442" spans="1:2">
      <c r="A442" t="s">
        <v>948</v>
      </c>
      <c r="B442">
        <v>202019.17</v>
      </c>
    </row>
    <row r="443" spans="1:2">
      <c r="A443" t="s">
        <v>950</v>
      </c>
      <c r="B443">
        <v>548878.47</v>
      </c>
    </row>
    <row r="444" spans="1:2">
      <c r="A444" t="s">
        <v>952</v>
      </c>
      <c r="B444">
        <v>73227.23</v>
      </c>
    </row>
    <row r="445" spans="1:2">
      <c r="A445" t="s">
        <v>954</v>
      </c>
      <c r="B445">
        <v>265345.81</v>
      </c>
    </row>
    <row r="446" spans="1:2">
      <c r="A446" t="s">
        <v>956</v>
      </c>
      <c r="B446">
        <v>285859.62</v>
      </c>
    </row>
    <row r="447" spans="1:2">
      <c r="A447" t="s">
        <v>958</v>
      </c>
      <c r="B447">
        <v>161582.82999999999</v>
      </c>
    </row>
    <row r="448" spans="1:2">
      <c r="A448" t="s">
        <v>960</v>
      </c>
      <c r="B448">
        <v>50297.69</v>
      </c>
    </row>
    <row r="449" spans="1:2">
      <c r="A449" t="s">
        <v>963</v>
      </c>
      <c r="B449">
        <v>66426.899999999994</v>
      </c>
    </row>
    <row r="450" spans="1:2">
      <c r="A450" t="s">
        <v>965</v>
      </c>
      <c r="B450">
        <v>244881.87</v>
      </c>
    </row>
    <row r="451" spans="1:2">
      <c r="A451" t="s">
        <v>967</v>
      </c>
      <c r="B451">
        <v>271670.45</v>
      </c>
    </row>
    <row r="452" spans="1:2">
      <c r="A452" t="s">
        <v>969</v>
      </c>
      <c r="B452">
        <v>50151.85</v>
      </c>
    </row>
    <row r="453" spans="1:2">
      <c r="A453" t="s">
        <v>971</v>
      </c>
      <c r="B453">
        <v>9631.1</v>
      </c>
    </row>
    <row r="454" spans="1:2">
      <c r="A454" t="s">
        <v>973</v>
      </c>
      <c r="B454">
        <v>127332.22</v>
      </c>
    </row>
    <row r="455" spans="1:2">
      <c r="A455" t="s">
        <v>975</v>
      </c>
      <c r="B455">
        <v>55500.18</v>
      </c>
    </row>
    <row r="456" spans="1:2">
      <c r="A456" t="s">
        <v>977</v>
      </c>
      <c r="B456">
        <v>793569.64</v>
      </c>
    </row>
    <row r="457" spans="1:2">
      <c r="A457" t="s">
        <v>980</v>
      </c>
      <c r="B457">
        <v>37988.720000000001</v>
      </c>
    </row>
    <row r="458" spans="1:2">
      <c r="A458" t="s">
        <v>983</v>
      </c>
      <c r="B458">
        <v>17789.849999999999</v>
      </c>
    </row>
    <row r="459" spans="1:2">
      <c r="A459" t="s">
        <v>985</v>
      </c>
      <c r="B459">
        <v>119629.29</v>
      </c>
    </row>
    <row r="460" spans="1:2">
      <c r="A460" t="s">
        <v>987</v>
      </c>
      <c r="B460">
        <v>805163.25</v>
      </c>
    </row>
    <row r="461" spans="1:2">
      <c r="A461" t="s">
        <v>989</v>
      </c>
      <c r="B461">
        <v>92655.41</v>
      </c>
    </row>
    <row r="462" spans="1:2">
      <c r="A462" t="s">
        <v>991</v>
      </c>
      <c r="B462">
        <v>178628.78</v>
      </c>
    </row>
    <row r="463" spans="1:2">
      <c r="A463" t="s">
        <v>993</v>
      </c>
      <c r="B463">
        <v>79157.679999999993</v>
      </c>
    </row>
    <row r="464" spans="1:2">
      <c r="A464" t="s">
        <v>995</v>
      </c>
      <c r="B464">
        <v>144742.39000000001</v>
      </c>
    </row>
    <row r="465" spans="1:2">
      <c r="A465" t="s">
        <v>997</v>
      </c>
      <c r="B465">
        <v>12021.119999999999</v>
      </c>
    </row>
    <row r="466" spans="1:2">
      <c r="A466" t="s">
        <v>1000</v>
      </c>
      <c r="B466">
        <v>16738.259999999998</v>
      </c>
    </row>
    <row r="467" spans="1:2">
      <c r="A467" t="s">
        <v>1002</v>
      </c>
      <c r="B467">
        <v>146896.04999999999</v>
      </c>
    </row>
    <row r="468" spans="1:2">
      <c r="A468" t="s">
        <v>1004</v>
      </c>
      <c r="B468">
        <v>34936.22</v>
      </c>
    </row>
    <row r="469" spans="1:2">
      <c r="A469" t="s">
        <v>1006</v>
      </c>
      <c r="B469">
        <v>153289.35</v>
      </c>
    </row>
    <row r="470" spans="1:2">
      <c r="A470" t="s">
        <v>1008</v>
      </c>
      <c r="B470">
        <v>63851.69</v>
      </c>
    </row>
    <row r="471" spans="1:2">
      <c r="A471" t="s">
        <v>1010</v>
      </c>
      <c r="B471">
        <v>1628413</v>
      </c>
    </row>
    <row r="472" spans="1:2">
      <c r="A472" t="s">
        <v>1012</v>
      </c>
      <c r="B472">
        <v>18865.080000000002</v>
      </c>
    </row>
    <row r="473" spans="1:2">
      <c r="A473" t="s">
        <v>1014</v>
      </c>
      <c r="B473">
        <v>66099.12</v>
      </c>
    </row>
    <row r="474" spans="1:2">
      <c r="A474" t="s">
        <v>1016</v>
      </c>
      <c r="B474">
        <v>421004.92</v>
      </c>
    </row>
    <row r="475" spans="1:2">
      <c r="A475" t="s">
        <v>1019</v>
      </c>
      <c r="B475">
        <v>56085.31</v>
      </c>
    </row>
    <row r="476" spans="1:2">
      <c r="A476" t="s">
        <v>1021</v>
      </c>
      <c r="B476">
        <v>10075.33</v>
      </c>
    </row>
    <row r="477" spans="1:2">
      <c r="A477" t="s">
        <v>1023</v>
      </c>
      <c r="B477">
        <v>142324.59</v>
      </c>
    </row>
    <row r="478" spans="1:2">
      <c r="A478" t="s">
        <v>1025</v>
      </c>
      <c r="B478">
        <v>606590.13</v>
      </c>
    </row>
    <row r="479" spans="1:2">
      <c r="A479" t="s">
        <v>1027</v>
      </c>
      <c r="B479">
        <v>1465367.06</v>
      </c>
    </row>
    <row r="480" spans="1:2">
      <c r="A480" t="s">
        <v>1030</v>
      </c>
      <c r="B480">
        <v>30815.64</v>
      </c>
    </row>
    <row r="481" spans="1:2">
      <c r="A481" t="s">
        <v>1032</v>
      </c>
      <c r="B481">
        <v>119074.96</v>
      </c>
    </row>
    <row r="482" spans="1:2">
      <c r="A482" t="s">
        <v>1035</v>
      </c>
      <c r="B482">
        <v>282591.43</v>
      </c>
    </row>
    <row r="483" spans="1:2">
      <c r="A483" t="s">
        <v>1037</v>
      </c>
      <c r="B483">
        <v>21224.720000000001</v>
      </c>
    </row>
    <row r="484" spans="1:2">
      <c r="A484" t="s">
        <v>1039</v>
      </c>
      <c r="B484">
        <v>63264.83</v>
      </c>
    </row>
    <row r="485" spans="1:2">
      <c r="A485" t="s">
        <v>1041</v>
      </c>
      <c r="B485">
        <v>248493.06</v>
      </c>
    </row>
    <row r="486" spans="1:2">
      <c r="A486" t="s">
        <v>1043</v>
      </c>
      <c r="B486">
        <v>340829.83</v>
      </c>
    </row>
    <row r="487" spans="1:2">
      <c r="A487" t="s">
        <v>1045</v>
      </c>
      <c r="B487">
        <v>20429.310000000001</v>
      </c>
    </row>
    <row r="488" spans="1:2">
      <c r="A488" t="s">
        <v>1047</v>
      </c>
      <c r="B488">
        <v>45361.15</v>
      </c>
    </row>
    <row r="489" spans="1:2">
      <c r="A489" t="s">
        <v>1049</v>
      </c>
      <c r="B489">
        <v>654215.93999999994</v>
      </c>
    </row>
    <row r="490" spans="1:2">
      <c r="A490" t="s">
        <v>1051</v>
      </c>
      <c r="B490">
        <v>159780.10999999999</v>
      </c>
    </row>
    <row r="491" spans="1:2">
      <c r="A491" t="s">
        <v>1053</v>
      </c>
      <c r="B491">
        <v>288475.09999999998</v>
      </c>
    </row>
    <row r="492" spans="1:2">
      <c r="A492" t="s">
        <v>1055</v>
      </c>
      <c r="B492">
        <v>42867.73</v>
      </c>
    </row>
    <row r="493" spans="1:2">
      <c r="A493" t="s">
        <v>1057</v>
      </c>
      <c r="B493">
        <v>96327.03</v>
      </c>
    </row>
    <row r="494" spans="1:2">
      <c r="A494" t="s">
        <v>1060</v>
      </c>
      <c r="B494">
        <v>623608.24</v>
      </c>
    </row>
    <row r="495" spans="1:2">
      <c r="A495" t="s">
        <v>1063</v>
      </c>
      <c r="B495">
        <v>63503.95</v>
      </c>
    </row>
    <row r="496" spans="1:2">
      <c r="A496" t="s">
        <v>1065</v>
      </c>
      <c r="B496">
        <v>399672.85</v>
      </c>
    </row>
    <row r="497" spans="1:2">
      <c r="A497" t="s">
        <v>1067</v>
      </c>
      <c r="B497">
        <v>102690.68</v>
      </c>
    </row>
    <row r="498" spans="1:2">
      <c r="A498" t="s">
        <v>1069</v>
      </c>
      <c r="B498">
        <v>53685.85</v>
      </c>
    </row>
    <row r="499" spans="1:2">
      <c r="A499" t="s">
        <v>1071</v>
      </c>
      <c r="B499">
        <v>35044.58</v>
      </c>
    </row>
    <row r="500" spans="1:2">
      <c r="A500" t="s">
        <v>1073</v>
      </c>
      <c r="B500">
        <v>90759.39</v>
      </c>
    </row>
    <row r="501" spans="1:2">
      <c r="A501" t="s">
        <v>1076</v>
      </c>
      <c r="B501">
        <v>48728.2</v>
      </c>
    </row>
    <row r="502" spans="1:2">
      <c r="A502" t="s">
        <v>1079</v>
      </c>
      <c r="B502">
        <v>43536.97</v>
      </c>
    </row>
    <row r="503" spans="1:2">
      <c r="A503" t="s">
        <v>1081</v>
      </c>
      <c r="B503">
        <v>95141.02</v>
      </c>
    </row>
    <row r="504" spans="1:2">
      <c r="A504" t="s">
        <v>1083</v>
      </c>
      <c r="B504">
        <v>189280.85</v>
      </c>
    </row>
    <row r="505" spans="1:2">
      <c r="A505" t="s">
        <v>1085</v>
      </c>
      <c r="B505">
        <v>583679.15</v>
      </c>
    </row>
    <row r="506" spans="1:2">
      <c r="A506" t="s">
        <v>1088</v>
      </c>
      <c r="B506">
        <v>112596.92</v>
      </c>
    </row>
    <row r="507" spans="1:2">
      <c r="A507" t="s">
        <v>1090</v>
      </c>
      <c r="B507">
        <v>52036.55</v>
      </c>
    </row>
    <row r="508" spans="1:2">
      <c r="A508" t="s">
        <v>1093</v>
      </c>
      <c r="B508">
        <v>158392.45000000001</v>
      </c>
    </row>
    <row r="509" spans="1:2">
      <c r="A509" t="s">
        <v>1095</v>
      </c>
      <c r="B509">
        <v>89715</v>
      </c>
    </row>
    <row r="510" spans="1:2">
      <c r="A510" t="s">
        <v>1097</v>
      </c>
      <c r="B510">
        <v>161065.89000000001</v>
      </c>
    </row>
    <row r="511" spans="1:2">
      <c r="A511" t="s">
        <v>1099</v>
      </c>
      <c r="B511">
        <v>59390.48</v>
      </c>
    </row>
    <row r="512" spans="1:2">
      <c r="A512" t="s">
        <v>1102</v>
      </c>
      <c r="B512">
        <v>17794.63</v>
      </c>
    </row>
    <row r="513" spans="1:2">
      <c r="A513" t="s">
        <v>1104</v>
      </c>
      <c r="B513">
        <v>123792.48</v>
      </c>
    </row>
    <row r="514" spans="1:2">
      <c r="A514" t="s">
        <v>1106</v>
      </c>
      <c r="B514">
        <v>5000</v>
      </c>
    </row>
    <row r="515" spans="1:2">
      <c r="A515" t="s">
        <v>1108</v>
      </c>
      <c r="B515">
        <v>578409.57000000007</v>
      </c>
    </row>
    <row r="516" spans="1:2">
      <c r="A516" t="s">
        <v>1110</v>
      </c>
      <c r="B516">
        <v>233150.19</v>
      </c>
    </row>
    <row r="517" spans="1:2">
      <c r="A517" t="s">
        <v>1113</v>
      </c>
      <c r="B517">
        <v>669319.77</v>
      </c>
    </row>
    <row r="518" spans="1:2">
      <c r="A518" t="s">
        <v>1115</v>
      </c>
      <c r="B518">
        <v>11920.57</v>
      </c>
    </row>
    <row r="519" spans="1:2">
      <c r="A519" t="s">
        <v>1118</v>
      </c>
      <c r="B519">
        <v>67263.510000000009</v>
      </c>
    </row>
    <row r="520" spans="1:2">
      <c r="A520" t="s">
        <v>1120</v>
      </c>
      <c r="B520">
        <v>201134.51</v>
      </c>
    </row>
    <row r="521" spans="1:2">
      <c r="A521" t="s">
        <v>1123</v>
      </c>
      <c r="B521">
        <v>47978.06</v>
      </c>
    </row>
    <row r="522" spans="1:2">
      <c r="A522" t="s">
        <v>1126</v>
      </c>
      <c r="B522">
        <v>1469316.71</v>
      </c>
    </row>
    <row r="523" spans="1:2">
      <c r="A523" t="s">
        <v>1128</v>
      </c>
      <c r="B523">
        <v>118696.3</v>
      </c>
    </row>
    <row r="524" spans="1:2">
      <c r="A524" t="s">
        <v>1132</v>
      </c>
      <c r="B524">
        <v>478512.97</v>
      </c>
    </row>
    <row r="525" spans="1:2">
      <c r="A525" t="s">
        <v>1134</v>
      </c>
      <c r="B525">
        <v>72120.05</v>
      </c>
    </row>
    <row r="526" spans="1:2">
      <c r="A526" t="s">
        <v>1136</v>
      </c>
      <c r="B526">
        <v>164617.60000000001</v>
      </c>
    </row>
    <row r="527" spans="1:2">
      <c r="A527" t="s">
        <v>1138</v>
      </c>
      <c r="B527">
        <v>472557.11</v>
      </c>
    </row>
    <row r="528" spans="1:2">
      <c r="A528" t="s">
        <v>1140</v>
      </c>
      <c r="B528">
        <v>161417.26</v>
      </c>
    </row>
    <row r="529" spans="1:2">
      <c r="A529" t="s">
        <v>1142</v>
      </c>
      <c r="B529">
        <v>158685.23000000001</v>
      </c>
    </row>
    <row r="530" spans="1:2">
      <c r="A530" t="s">
        <v>1145</v>
      </c>
      <c r="B530">
        <v>20531.07</v>
      </c>
    </row>
    <row r="531" spans="1:2">
      <c r="A531" t="s">
        <v>1147</v>
      </c>
      <c r="B531">
        <v>531255.06999999995</v>
      </c>
    </row>
    <row r="532" spans="1:2">
      <c r="A532" t="s">
        <v>1149</v>
      </c>
      <c r="B532">
        <v>77418.06</v>
      </c>
    </row>
    <row r="533" spans="1:2">
      <c r="A533" t="s">
        <v>1151</v>
      </c>
      <c r="B533">
        <v>5000</v>
      </c>
    </row>
    <row r="534" spans="1:2">
      <c r="A534" t="s">
        <v>1153</v>
      </c>
      <c r="B534">
        <v>35491.53</v>
      </c>
    </row>
    <row r="535" spans="1:2">
      <c r="A535" t="s">
        <v>1156</v>
      </c>
      <c r="B535">
        <v>158673.85999999999</v>
      </c>
    </row>
    <row r="536" spans="1:2">
      <c r="A536" t="s">
        <v>1158</v>
      </c>
      <c r="B536">
        <v>500227.23</v>
      </c>
    </row>
    <row r="537" spans="1:2">
      <c r="A537" t="s">
        <v>1160</v>
      </c>
      <c r="B537">
        <v>153410.76</v>
      </c>
    </row>
    <row r="538" spans="1:2">
      <c r="A538" t="s">
        <v>1162</v>
      </c>
      <c r="B538">
        <v>43441.61</v>
      </c>
    </row>
    <row r="539" spans="1:2">
      <c r="A539" t="s">
        <v>1164</v>
      </c>
      <c r="B539">
        <v>59868.2</v>
      </c>
    </row>
    <row r="540" spans="1:2">
      <c r="A540" t="s">
        <v>1166</v>
      </c>
      <c r="B540">
        <v>10306.620000000001</v>
      </c>
    </row>
    <row r="541" spans="1:2">
      <c r="A541" t="s">
        <v>1168</v>
      </c>
      <c r="B541">
        <v>23005.67</v>
      </c>
    </row>
    <row r="542" spans="1:2">
      <c r="A542" t="s">
        <v>1170</v>
      </c>
      <c r="B542">
        <v>643696.89</v>
      </c>
    </row>
    <row r="543" spans="1:2">
      <c r="A543" t="s">
        <v>1172</v>
      </c>
      <c r="B543">
        <v>148780.02000000002</v>
      </c>
    </row>
    <row r="544" spans="1:2">
      <c r="A544" t="s">
        <v>1174</v>
      </c>
      <c r="B544">
        <v>1094604.05</v>
      </c>
    </row>
    <row r="545" spans="1:2">
      <c r="A545" t="s">
        <v>1176</v>
      </c>
      <c r="B545">
        <v>36845.599999999999</v>
      </c>
    </row>
    <row r="546" spans="1:2">
      <c r="A546" t="s">
        <v>1181</v>
      </c>
      <c r="B546">
        <v>177843.53</v>
      </c>
    </row>
    <row r="547" spans="1:2">
      <c r="A547" t="s">
        <v>1183</v>
      </c>
      <c r="B547">
        <v>251696.46</v>
      </c>
    </row>
    <row r="548" spans="1:2">
      <c r="A548" t="s">
        <v>1185</v>
      </c>
      <c r="B548">
        <v>395170.38</v>
      </c>
    </row>
    <row r="549" spans="1:2">
      <c r="A549" t="s">
        <v>1187</v>
      </c>
      <c r="B549">
        <v>248076.59</v>
      </c>
    </row>
    <row r="550" spans="1:2">
      <c r="A550" t="s">
        <v>1189</v>
      </c>
      <c r="B550">
        <v>29914.51</v>
      </c>
    </row>
    <row r="551" spans="1:2">
      <c r="A551" t="s">
        <v>1191</v>
      </c>
      <c r="B551">
        <v>141135.82999999999</v>
      </c>
    </row>
    <row r="552" spans="1:2">
      <c r="A552" t="s">
        <v>1193</v>
      </c>
      <c r="B552">
        <v>187312.63</v>
      </c>
    </row>
    <row r="553" spans="1:2">
      <c r="A553" t="s">
        <v>1195</v>
      </c>
      <c r="B553">
        <v>75683.179999999993</v>
      </c>
    </row>
    <row r="554" spans="1:2">
      <c r="A554" t="s">
        <v>1197</v>
      </c>
      <c r="B554">
        <v>21137.89</v>
      </c>
    </row>
    <row r="555" spans="1:2">
      <c r="A555" t="s">
        <v>1199</v>
      </c>
      <c r="B555">
        <v>36761.879999999997</v>
      </c>
    </row>
    <row r="556" spans="1:2">
      <c r="A556" t="s">
        <v>1201</v>
      </c>
      <c r="B556">
        <v>50944.34</v>
      </c>
    </row>
    <row r="557" spans="1:2">
      <c r="A557" t="s">
        <v>1203</v>
      </c>
      <c r="B557">
        <v>183421.88</v>
      </c>
    </row>
    <row r="558" spans="1:2">
      <c r="A558" t="s">
        <v>1205</v>
      </c>
      <c r="B558">
        <v>24534.55</v>
      </c>
    </row>
    <row r="559" spans="1:2">
      <c r="A559" t="s">
        <v>1207</v>
      </c>
      <c r="B559">
        <v>103674.34</v>
      </c>
    </row>
    <row r="560" spans="1:2">
      <c r="A560" t="s">
        <v>1209</v>
      </c>
      <c r="B560">
        <v>16182.93</v>
      </c>
    </row>
    <row r="561" spans="1:2">
      <c r="A561" t="s">
        <v>1211</v>
      </c>
      <c r="B561">
        <v>376788.52</v>
      </c>
    </row>
    <row r="562" spans="1:2">
      <c r="A562" t="s">
        <v>1214</v>
      </c>
      <c r="B562">
        <v>10585.47</v>
      </c>
    </row>
    <row r="563" spans="1:2">
      <c r="A563" t="s">
        <v>1217</v>
      </c>
      <c r="B563">
        <v>38832.92</v>
      </c>
    </row>
    <row r="564" spans="1:2">
      <c r="A564" t="s">
        <v>1219</v>
      </c>
      <c r="B564">
        <v>27888.31</v>
      </c>
    </row>
    <row r="565" spans="1:2">
      <c r="A565" t="s">
        <v>1221</v>
      </c>
      <c r="B565">
        <v>357751.29</v>
      </c>
    </row>
    <row r="566" spans="1:2">
      <c r="A566" t="s">
        <v>1223</v>
      </c>
      <c r="B566">
        <v>270624.28000000003</v>
      </c>
    </row>
    <row r="567" spans="1:2">
      <c r="A567" t="s">
        <v>1225</v>
      </c>
      <c r="B567">
        <v>161677.92000000001</v>
      </c>
    </row>
    <row r="568" spans="1:2">
      <c r="A568" t="s">
        <v>1227</v>
      </c>
      <c r="B568">
        <v>563792.88</v>
      </c>
    </row>
    <row r="569" spans="1:2">
      <c r="A569" t="s">
        <v>1229</v>
      </c>
      <c r="B569">
        <v>72520.7</v>
      </c>
    </row>
    <row r="570" spans="1:2">
      <c r="A570" t="s">
        <v>1231</v>
      </c>
      <c r="B570">
        <v>41413.71</v>
      </c>
    </row>
    <row r="571" spans="1:2">
      <c r="A571" t="s">
        <v>1233</v>
      </c>
      <c r="B571">
        <v>44597.42</v>
      </c>
    </row>
    <row r="572" spans="1:2">
      <c r="A572" t="s">
        <v>1235</v>
      </c>
      <c r="B572">
        <v>36315.4</v>
      </c>
    </row>
    <row r="573" spans="1:2">
      <c r="A573" t="s">
        <v>1237</v>
      </c>
      <c r="B573">
        <v>350536.77</v>
      </c>
    </row>
    <row r="574" spans="1:2">
      <c r="A574" t="s">
        <v>1239</v>
      </c>
      <c r="B574">
        <v>53854.229999999996</v>
      </c>
    </row>
    <row r="575" spans="1:2">
      <c r="A575" t="s">
        <v>1241</v>
      </c>
      <c r="B575">
        <v>102689.61</v>
      </c>
    </row>
    <row r="576" spans="1:2">
      <c r="A576" t="s">
        <v>1243</v>
      </c>
      <c r="B576">
        <v>643181.57999999996</v>
      </c>
    </row>
    <row r="577" spans="1:2">
      <c r="A577" t="s">
        <v>1246</v>
      </c>
      <c r="B577">
        <v>58317.97</v>
      </c>
    </row>
    <row r="578" spans="1:2">
      <c r="A578" t="s">
        <v>1248</v>
      </c>
      <c r="B578">
        <v>191157.43</v>
      </c>
    </row>
    <row r="579" spans="1:2">
      <c r="A579" t="s">
        <v>1250</v>
      </c>
      <c r="B579">
        <v>31970.91</v>
      </c>
    </row>
    <row r="580" spans="1:2">
      <c r="A580" t="s">
        <v>1252</v>
      </c>
      <c r="B580">
        <v>235428.82</v>
      </c>
    </row>
    <row r="581" spans="1:2">
      <c r="A581" t="s">
        <v>1254</v>
      </c>
      <c r="B581">
        <v>36858.65</v>
      </c>
    </row>
    <row r="582" spans="1:2">
      <c r="A582" t="s">
        <v>1256</v>
      </c>
      <c r="B582">
        <v>90825.06</v>
      </c>
    </row>
    <row r="583" spans="1:2">
      <c r="A583" t="s">
        <v>1258</v>
      </c>
      <c r="B583">
        <v>60119.16</v>
      </c>
    </row>
    <row r="584" spans="1:2">
      <c r="A584" t="s">
        <v>1260</v>
      </c>
      <c r="B584">
        <v>394460.36</v>
      </c>
    </row>
    <row r="585" spans="1:2">
      <c r="A585" t="s">
        <v>1262</v>
      </c>
      <c r="B585">
        <v>46738.239999999998</v>
      </c>
    </row>
    <row r="586" spans="1:2">
      <c r="A586" t="s">
        <v>1264</v>
      </c>
      <c r="B586">
        <v>8882.42</v>
      </c>
    </row>
    <row r="587" spans="1:2">
      <c r="A587" t="s">
        <v>1266</v>
      </c>
      <c r="B587">
        <v>183659.5</v>
      </c>
    </row>
    <row r="588" spans="1:2">
      <c r="A588" t="s">
        <v>1268</v>
      </c>
      <c r="B588">
        <v>47357.48</v>
      </c>
    </row>
    <row r="589" spans="1:2">
      <c r="A589" t="s">
        <v>1270</v>
      </c>
      <c r="B589">
        <v>328521.34999999998</v>
      </c>
    </row>
    <row r="590" spans="1:2">
      <c r="A590" t="s">
        <v>1273</v>
      </c>
      <c r="B590">
        <v>65907.8</v>
      </c>
    </row>
    <row r="591" spans="1:2">
      <c r="A591" t="s">
        <v>1275</v>
      </c>
      <c r="B591">
        <v>21906.62</v>
      </c>
    </row>
    <row r="592" spans="1:2">
      <c r="A592" t="s">
        <v>1277</v>
      </c>
      <c r="B592">
        <v>177239.15</v>
      </c>
    </row>
    <row r="593" spans="1:2">
      <c r="A593" t="s">
        <v>1279</v>
      </c>
      <c r="B593">
        <v>382149.72</v>
      </c>
    </row>
    <row r="594" spans="1:2">
      <c r="A594" t="s">
        <v>1281</v>
      </c>
      <c r="B594">
        <v>65148.89</v>
      </c>
    </row>
    <row r="595" spans="1:2">
      <c r="A595" t="s">
        <v>1283</v>
      </c>
      <c r="B595">
        <v>50013.440000000002</v>
      </c>
    </row>
    <row r="596" spans="1:2">
      <c r="A596" t="s">
        <v>1285</v>
      </c>
      <c r="B596">
        <v>47991.38</v>
      </c>
    </row>
    <row r="597" spans="1:2">
      <c r="A597" t="s">
        <v>1287</v>
      </c>
      <c r="B597">
        <v>32707.279999999999</v>
      </c>
    </row>
    <row r="598" spans="1:2">
      <c r="A598" t="s">
        <v>1290</v>
      </c>
      <c r="B598">
        <v>211898.61</v>
      </c>
    </row>
    <row r="599" spans="1:2">
      <c r="A599" t="s">
        <v>1292</v>
      </c>
      <c r="B599">
        <v>342714.56</v>
      </c>
    </row>
    <row r="600" spans="1:2">
      <c r="A600" t="s">
        <v>1294</v>
      </c>
      <c r="B600">
        <v>33729.25</v>
      </c>
    </row>
    <row r="601" spans="1:2">
      <c r="A601" t="s">
        <v>1296</v>
      </c>
      <c r="B601">
        <v>49327.71</v>
      </c>
    </row>
    <row r="602" spans="1:2">
      <c r="A602" t="s">
        <v>1298</v>
      </c>
      <c r="B602">
        <v>244873.88</v>
      </c>
    </row>
    <row r="603" spans="1:2">
      <c r="A603" t="s">
        <v>1300</v>
      </c>
      <c r="B603">
        <v>189568.97</v>
      </c>
    </row>
    <row r="604" spans="1:2">
      <c r="A604" t="s">
        <v>1302</v>
      </c>
      <c r="B604">
        <v>98417.84</v>
      </c>
    </row>
    <row r="605" spans="1:2">
      <c r="A605" t="s">
        <v>1304</v>
      </c>
      <c r="B605">
        <v>1053387.24</v>
      </c>
    </row>
    <row r="606" spans="1:2">
      <c r="A606" t="s">
        <v>1306</v>
      </c>
      <c r="B606">
        <v>1104022.49</v>
      </c>
    </row>
    <row r="607" spans="1:2">
      <c r="A607" t="s">
        <v>1308</v>
      </c>
      <c r="B607">
        <v>96112.26</v>
      </c>
    </row>
    <row r="608" spans="1:2">
      <c r="A608" t="s">
        <v>1310</v>
      </c>
      <c r="B608">
        <v>24379.79</v>
      </c>
    </row>
    <row r="609" spans="1:2">
      <c r="A609" t="s">
        <v>1312</v>
      </c>
      <c r="B609">
        <v>133402.98000000001</v>
      </c>
    </row>
    <row r="610" spans="1:2">
      <c r="A610" t="s">
        <v>1314</v>
      </c>
      <c r="B610">
        <v>552634.6</v>
      </c>
    </row>
    <row r="611" spans="1:2">
      <c r="A611" t="s">
        <v>1318</v>
      </c>
      <c r="B611">
        <v>187111.43</v>
      </c>
    </row>
    <row r="612" spans="1:2">
      <c r="A612" t="s">
        <v>1320</v>
      </c>
      <c r="B612">
        <v>417072.69</v>
      </c>
    </row>
    <row r="613" spans="1:2">
      <c r="A613" t="s">
        <v>1322</v>
      </c>
      <c r="B613">
        <v>122402.33</v>
      </c>
    </row>
    <row r="614" spans="1:2">
      <c r="A614" t="s">
        <v>1324</v>
      </c>
      <c r="B614">
        <v>154234.16999999998</v>
      </c>
    </row>
    <row r="615" spans="1:2">
      <c r="A615" t="s">
        <v>1326</v>
      </c>
      <c r="B615">
        <v>30358.46</v>
      </c>
    </row>
    <row r="616" spans="1:2">
      <c r="A616" t="s">
        <v>1328</v>
      </c>
      <c r="B616">
        <v>165325.25</v>
      </c>
    </row>
    <row r="617" spans="1:2">
      <c r="A617" t="s">
        <v>1330</v>
      </c>
      <c r="B617">
        <v>119720.86</v>
      </c>
    </row>
    <row r="618" spans="1:2">
      <c r="A618" t="s">
        <v>1332</v>
      </c>
      <c r="B618">
        <v>11877.36</v>
      </c>
    </row>
    <row r="619" spans="1:2">
      <c r="A619" t="s">
        <v>1334</v>
      </c>
      <c r="B619">
        <v>794041.67</v>
      </c>
    </row>
    <row r="620" spans="1:2">
      <c r="A620" t="s">
        <v>1336</v>
      </c>
      <c r="B620">
        <v>346085.18</v>
      </c>
    </row>
    <row r="621" spans="1:2">
      <c r="A621" t="s">
        <v>1339</v>
      </c>
      <c r="B621">
        <v>87554.38</v>
      </c>
    </row>
    <row r="622" spans="1:2">
      <c r="A622" t="s">
        <v>1342</v>
      </c>
      <c r="B622">
        <v>98189.96</v>
      </c>
    </row>
    <row r="623" spans="1:2">
      <c r="A623" t="s">
        <v>1344</v>
      </c>
      <c r="B623">
        <v>141941.98000000001</v>
      </c>
    </row>
    <row r="624" spans="1:2">
      <c r="A624" t="s">
        <v>1346</v>
      </c>
      <c r="B624">
        <v>170546.07</v>
      </c>
    </row>
    <row r="625" spans="1:2">
      <c r="A625" t="s">
        <v>1349</v>
      </c>
      <c r="B625">
        <v>18437.78</v>
      </c>
    </row>
    <row r="626" spans="1:2">
      <c r="A626" t="s">
        <v>1351</v>
      </c>
      <c r="B626">
        <v>79779.179999999993</v>
      </c>
    </row>
    <row r="627" spans="1:2">
      <c r="A627" t="s">
        <v>1353</v>
      </c>
      <c r="B627">
        <v>72640.429999999993</v>
      </c>
    </row>
    <row r="628" spans="1:2">
      <c r="A628" t="s">
        <v>1355</v>
      </c>
      <c r="B628">
        <v>63990.92</v>
      </c>
    </row>
    <row r="629" spans="1:2">
      <c r="A629" t="s">
        <v>1357</v>
      </c>
      <c r="B629">
        <v>113599.23000000001</v>
      </c>
    </row>
    <row r="630" spans="1:2">
      <c r="A630" t="s">
        <v>1359</v>
      </c>
      <c r="B630">
        <v>341694.33</v>
      </c>
    </row>
    <row r="631" spans="1:2">
      <c r="A631" t="s">
        <v>1361</v>
      </c>
      <c r="B631">
        <v>420612.94</v>
      </c>
    </row>
    <row r="632" spans="1:2">
      <c r="A632" t="s">
        <v>1363</v>
      </c>
      <c r="B632">
        <v>47719.12</v>
      </c>
    </row>
    <row r="633" spans="1:2">
      <c r="A633" t="s">
        <v>1365</v>
      </c>
      <c r="B633">
        <v>127022.67</v>
      </c>
    </row>
    <row r="634" spans="1:2">
      <c r="A634" t="s">
        <v>1368</v>
      </c>
      <c r="B634">
        <v>74765.56</v>
      </c>
    </row>
    <row r="635" spans="1:2">
      <c r="A635" t="s">
        <v>1370</v>
      </c>
      <c r="B635">
        <v>604913.81999999995</v>
      </c>
    </row>
    <row r="636" spans="1:2">
      <c r="A636" t="s">
        <v>1373</v>
      </c>
      <c r="B636">
        <v>95205.25</v>
      </c>
    </row>
    <row r="637" spans="1:2">
      <c r="A637" t="s">
        <v>1375</v>
      </c>
      <c r="B637">
        <v>382706.2</v>
      </c>
    </row>
    <row r="638" spans="1:2">
      <c r="A638" t="s">
        <v>1377</v>
      </c>
      <c r="B638">
        <v>87499.35</v>
      </c>
    </row>
    <row r="639" spans="1:2">
      <c r="A639" t="s">
        <v>1379</v>
      </c>
      <c r="B639">
        <v>443080.08</v>
      </c>
    </row>
    <row r="640" spans="1:2">
      <c r="A640" t="s">
        <v>1381</v>
      </c>
      <c r="B640">
        <v>34419.730000000003</v>
      </c>
    </row>
    <row r="641" spans="1:2">
      <c r="A641" t="s">
        <v>1383</v>
      </c>
      <c r="B641">
        <v>345820.59</v>
      </c>
    </row>
    <row r="642" spans="1:2">
      <c r="A642" t="s">
        <v>1385</v>
      </c>
      <c r="B642">
        <v>134352.46</v>
      </c>
    </row>
    <row r="643" spans="1:2">
      <c r="A643" t="s">
        <v>1387</v>
      </c>
      <c r="B643">
        <v>371118.94</v>
      </c>
    </row>
    <row r="644" spans="1:2">
      <c r="A644" t="s">
        <v>1389</v>
      </c>
      <c r="B644">
        <v>25589.63</v>
      </c>
    </row>
    <row r="645" spans="1:2">
      <c r="A645" t="s">
        <v>1391</v>
      </c>
      <c r="B645">
        <v>17226.740000000002</v>
      </c>
    </row>
    <row r="646" spans="1:2">
      <c r="A646" t="s">
        <v>1393</v>
      </c>
      <c r="B646">
        <v>24234.959999999999</v>
      </c>
    </row>
    <row r="647" spans="1:2">
      <c r="A647" t="s">
        <v>1396</v>
      </c>
      <c r="B647">
        <v>32084.639999999999</v>
      </c>
    </row>
    <row r="648" spans="1:2">
      <c r="A648" t="s">
        <v>1398</v>
      </c>
      <c r="B648">
        <v>12982.49</v>
      </c>
    </row>
    <row r="649" spans="1:2">
      <c r="A649" t="s">
        <v>1400</v>
      </c>
      <c r="B649">
        <v>21926.880000000001</v>
      </c>
    </row>
    <row r="650" spans="1:2">
      <c r="A650" t="s">
        <v>1402</v>
      </c>
      <c r="B650">
        <v>126030.58</v>
      </c>
    </row>
    <row r="651" spans="1:2">
      <c r="A651" t="s">
        <v>1404</v>
      </c>
      <c r="B651">
        <v>57944.4</v>
      </c>
    </row>
    <row r="652" spans="1:2">
      <c r="A652" t="s">
        <v>1406</v>
      </c>
      <c r="B652">
        <v>202769.16</v>
      </c>
    </row>
    <row r="653" spans="1:2">
      <c r="A653" t="s">
        <v>1408</v>
      </c>
      <c r="B653">
        <v>23523.34</v>
      </c>
    </row>
    <row r="654" spans="1:2">
      <c r="A654" t="s">
        <v>1410</v>
      </c>
      <c r="B654">
        <v>52607.839999999997</v>
      </c>
    </row>
    <row r="655" spans="1:2">
      <c r="A655" t="s">
        <v>1412</v>
      </c>
      <c r="B655">
        <v>681964.28</v>
      </c>
    </row>
    <row r="656" spans="1:2">
      <c r="A656" t="s">
        <v>1414</v>
      </c>
      <c r="B656">
        <v>346081.64</v>
      </c>
    </row>
    <row r="657" spans="1:2">
      <c r="A657" t="s">
        <v>1416</v>
      </c>
      <c r="B657">
        <v>778277.15</v>
      </c>
    </row>
    <row r="658" spans="1:2">
      <c r="A658" t="s">
        <v>1418</v>
      </c>
      <c r="B658">
        <v>176479.95</v>
      </c>
    </row>
    <row r="659" spans="1:2">
      <c r="A659" t="s">
        <v>1420</v>
      </c>
      <c r="B659">
        <v>254570.1</v>
      </c>
    </row>
    <row r="660" spans="1:2">
      <c r="A660" t="s">
        <v>1422</v>
      </c>
      <c r="B660">
        <v>550652.22</v>
      </c>
    </row>
    <row r="661" spans="1:2">
      <c r="A661" t="s">
        <v>1424</v>
      </c>
      <c r="B661">
        <v>36501.53</v>
      </c>
    </row>
    <row r="662" spans="1:2">
      <c r="A662" t="s">
        <v>1426</v>
      </c>
      <c r="B662">
        <v>235845.32</v>
      </c>
    </row>
    <row r="663" spans="1:2">
      <c r="A663" t="s">
        <v>1428</v>
      </c>
      <c r="B663">
        <v>2000000</v>
      </c>
    </row>
    <row r="664" spans="1:2">
      <c r="A664" t="s">
        <v>1430</v>
      </c>
      <c r="B664">
        <v>62804.26</v>
      </c>
    </row>
    <row r="665" spans="1:2">
      <c r="A665" t="s">
        <v>1432</v>
      </c>
      <c r="B665">
        <v>3673.1</v>
      </c>
    </row>
    <row r="666" spans="1:2">
      <c r="A666" t="s">
        <v>1436</v>
      </c>
      <c r="B666">
        <v>884580.96</v>
      </c>
    </row>
    <row r="667" spans="1:2">
      <c r="A667" t="s">
        <v>1438</v>
      </c>
      <c r="B667">
        <v>649930.14</v>
      </c>
    </row>
    <row r="668" spans="1:2">
      <c r="A668" t="s">
        <v>1440</v>
      </c>
      <c r="B668">
        <v>181445.19</v>
      </c>
    </row>
    <row r="669" spans="1:2">
      <c r="A669" t="s">
        <v>1442</v>
      </c>
      <c r="B669">
        <v>32185.46</v>
      </c>
    </row>
    <row r="670" spans="1:2">
      <c r="A670" t="s">
        <v>1444</v>
      </c>
      <c r="B670">
        <v>2000000</v>
      </c>
    </row>
    <row r="671" spans="1:2">
      <c r="A671" t="s">
        <v>1446</v>
      </c>
      <c r="B671">
        <v>586036.93999999994</v>
      </c>
    </row>
    <row r="672" spans="1:2">
      <c r="A672" t="s">
        <v>1448</v>
      </c>
      <c r="B672">
        <v>86168.89</v>
      </c>
    </row>
    <row r="673" spans="1:2">
      <c r="A673" t="s">
        <v>1450</v>
      </c>
      <c r="B673">
        <v>50423.9</v>
      </c>
    </row>
    <row r="674" spans="1:2">
      <c r="A674" t="s">
        <v>1452</v>
      </c>
      <c r="B674">
        <v>294667.02</v>
      </c>
    </row>
    <row r="675" spans="1:2">
      <c r="A675" t="s">
        <v>1454</v>
      </c>
      <c r="B675">
        <v>43731.02</v>
      </c>
    </row>
    <row r="676" spans="1:2">
      <c r="A676" t="s">
        <v>1456</v>
      </c>
      <c r="B676">
        <v>9312.52</v>
      </c>
    </row>
    <row r="677" spans="1:2">
      <c r="A677" t="s">
        <v>1458</v>
      </c>
      <c r="B677">
        <v>222320.5</v>
      </c>
    </row>
    <row r="678" spans="1:2">
      <c r="A678" t="s">
        <v>1460</v>
      </c>
      <c r="B678">
        <v>29240.79</v>
      </c>
    </row>
    <row r="679" spans="1:2">
      <c r="A679" t="s">
        <v>1462</v>
      </c>
      <c r="B679">
        <v>122879.21</v>
      </c>
    </row>
    <row r="680" spans="1:2">
      <c r="A680" t="s">
        <v>1464</v>
      </c>
      <c r="B680">
        <v>961027.82</v>
      </c>
    </row>
    <row r="681" spans="1:2">
      <c r="A681" t="s">
        <v>1466</v>
      </c>
      <c r="B681">
        <v>131898.54999999999</v>
      </c>
    </row>
    <row r="682" spans="1:2">
      <c r="A682" t="s">
        <v>1469</v>
      </c>
      <c r="B682">
        <v>144024.66</v>
      </c>
    </row>
    <row r="683" spans="1:2">
      <c r="A683" t="s">
        <v>1471</v>
      </c>
      <c r="B683">
        <v>82263.47</v>
      </c>
    </row>
    <row r="684" spans="1:2">
      <c r="A684" t="s">
        <v>1473</v>
      </c>
      <c r="B684">
        <v>55210.89</v>
      </c>
    </row>
    <row r="685" spans="1:2">
      <c r="A685" t="s">
        <v>1475</v>
      </c>
      <c r="B685">
        <v>61469.87</v>
      </c>
    </row>
    <row r="686" spans="1:2">
      <c r="A686" t="s">
        <v>1477</v>
      </c>
      <c r="B686">
        <v>324443.59999999998</v>
      </c>
    </row>
    <row r="687" spans="1:2">
      <c r="A687" t="s">
        <v>1479</v>
      </c>
      <c r="B687">
        <v>196549.57</v>
      </c>
    </row>
    <row r="688" spans="1:2">
      <c r="A688" t="s">
        <v>1481</v>
      </c>
      <c r="B688">
        <v>475104.7</v>
      </c>
    </row>
    <row r="689" spans="1:2">
      <c r="A689" t="s">
        <v>1483</v>
      </c>
      <c r="B689">
        <v>147066.21</v>
      </c>
    </row>
    <row r="690" spans="1:2">
      <c r="A690" t="s">
        <v>1485</v>
      </c>
      <c r="B690">
        <v>55490.65</v>
      </c>
    </row>
    <row r="691" spans="1:2">
      <c r="A691" t="s">
        <v>1487</v>
      </c>
      <c r="B691">
        <v>166906.65</v>
      </c>
    </row>
    <row r="692" spans="1:2">
      <c r="A692" t="s">
        <v>1489</v>
      </c>
      <c r="B692">
        <v>76109.58</v>
      </c>
    </row>
    <row r="693" spans="1:2">
      <c r="A693" t="s">
        <v>1491</v>
      </c>
      <c r="B693">
        <v>1108504.67</v>
      </c>
    </row>
    <row r="694" spans="1:2">
      <c r="A694" t="s">
        <v>1494</v>
      </c>
      <c r="B694">
        <v>62626.98</v>
      </c>
    </row>
    <row r="695" spans="1:2">
      <c r="A695" t="s">
        <v>1496</v>
      </c>
      <c r="B695">
        <v>505604.79</v>
      </c>
    </row>
    <row r="696" spans="1:2">
      <c r="A696" t="s">
        <v>1498</v>
      </c>
      <c r="B696">
        <v>422412.48</v>
      </c>
    </row>
    <row r="697" spans="1:2">
      <c r="A697" t="s">
        <v>1501</v>
      </c>
      <c r="B697">
        <v>16353.43</v>
      </c>
    </row>
    <row r="698" spans="1:2">
      <c r="A698" t="s">
        <v>1503</v>
      </c>
      <c r="B698">
        <v>48466.02</v>
      </c>
    </row>
    <row r="699" spans="1:2">
      <c r="A699" t="s">
        <v>1505</v>
      </c>
      <c r="B699">
        <v>12513.11</v>
      </c>
    </row>
    <row r="700" spans="1:2">
      <c r="A700" t="s">
        <v>1507</v>
      </c>
      <c r="B700">
        <v>2000000</v>
      </c>
    </row>
    <row r="701" spans="1:2">
      <c r="A701" t="s">
        <v>1509</v>
      </c>
      <c r="B701">
        <v>61511.81</v>
      </c>
    </row>
    <row r="702" spans="1:2">
      <c r="A702" t="s">
        <v>1511</v>
      </c>
      <c r="B702">
        <v>1445477.95</v>
      </c>
    </row>
    <row r="703" spans="1:2">
      <c r="A703" t="s">
        <v>1513</v>
      </c>
      <c r="B703">
        <v>93835.86</v>
      </c>
    </row>
    <row r="704" spans="1:2">
      <c r="A704" t="s">
        <v>1515</v>
      </c>
      <c r="B704">
        <v>925819.57</v>
      </c>
    </row>
    <row r="705" spans="1:2">
      <c r="A705" t="s">
        <v>1517</v>
      </c>
      <c r="B705">
        <v>44602.14</v>
      </c>
    </row>
    <row r="706" spans="1:2">
      <c r="A706" t="s">
        <v>1519</v>
      </c>
      <c r="B706">
        <v>543091.56999999995</v>
      </c>
    </row>
    <row r="707" spans="1:2">
      <c r="A707" t="s">
        <v>1521</v>
      </c>
      <c r="B707">
        <v>136817.41</v>
      </c>
    </row>
    <row r="708" spans="1:2">
      <c r="A708" t="s">
        <v>1523</v>
      </c>
      <c r="B708">
        <v>196692.9</v>
      </c>
    </row>
    <row r="709" spans="1:2">
      <c r="A709" t="s">
        <v>1525</v>
      </c>
      <c r="B709">
        <v>109530.44</v>
      </c>
    </row>
    <row r="710" spans="1:2">
      <c r="A710" t="s">
        <v>1527</v>
      </c>
      <c r="B710">
        <v>68933.03</v>
      </c>
    </row>
    <row r="711" spans="1:2">
      <c r="A711" t="s">
        <v>1529</v>
      </c>
      <c r="B711">
        <v>117683.1</v>
      </c>
    </row>
    <row r="712" spans="1:2">
      <c r="A712" t="s">
        <v>1531</v>
      </c>
      <c r="B712">
        <v>213119.32</v>
      </c>
    </row>
    <row r="713" spans="1:2">
      <c r="A713" t="s">
        <v>1534</v>
      </c>
      <c r="B713">
        <v>70200.52</v>
      </c>
    </row>
    <row r="714" spans="1:2">
      <c r="A714" t="s">
        <v>1536</v>
      </c>
      <c r="B714">
        <v>91988.77</v>
      </c>
    </row>
    <row r="715" spans="1:2">
      <c r="A715" t="s">
        <v>1538</v>
      </c>
      <c r="B715">
        <v>38995.449999999997</v>
      </c>
    </row>
    <row r="716" spans="1:2">
      <c r="A716" t="s">
        <v>1540</v>
      </c>
      <c r="B716">
        <v>34050.800000000003</v>
      </c>
    </row>
    <row r="717" spans="1:2">
      <c r="A717" t="s">
        <v>1542</v>
      </c>
      <c r="B717">
        <v>565680.36</v>
      </c>
    </row>
    <row r="718" spans="1:2">
      <c r="A718" t="s">
        <v>1544</v>
      </c>
      <c r="B718">
        <v>22528.71</v>
      </c>
    </row>
    <row r="719" spans="1:2">
      <c r="A719" t="s">
        <v>1546</v>
      </c>
      <c r="B719">
        <v>29270.080000000002</v>
      </c>
    </row>
    <row r="720" spans="1:2">
      <c r="A720" t="s">
        <v>1548</v>
      </c>
      <c r="B720">
        <v>353055.02</v>
      </c>
    </row>
    <row r="721" spans="1:2">
      <c r="A721" t="s">
        <v>1550</v>
      </c>
      <c r="B721">
        <v>54970.48</v>
      </c>
    </row>
    <row r="722" spans="1:2">
      <c r="A722" t="s">
        <v>1553</v>
      </c>
      <c r="B722">
        <v>5004.04</v>
      </c>
    </row>
    <row r="723" spans="1:2">
      <c r="A723" t="s">
        <v>1555</v>
      </c>
      <c r="B723">
        <v>109441.88</v>
      </c>
    </row>
    <row r="724" spans="1:2">
      <c r="A724" t="s">
        <v>1557</v>
      </c>
      <c r="B724">
        <v>2000000</v>
      </c>
    </row>
    <row r="725" spans="1:2">
      <c r="A725" t="s">
        <v>1559</v>
      </c>
      <c r="B725">
        <v>227605.26</v>
      </c>
    </row>
    <row r="726" spans="1:2">
      <c r="A726" t="s">
        <v>1561</v>
      </c>
      <c r="B726">
        <v>94538.4</v>
      </c>
    </row>
    <row r="727" spans="1:2">
      <c r="A727" t="s">
        <v>1563</v>
      </c>
      <c r="B727">
        <v>84530.51</v>
      </c>
    </row>
    <row r="728" spans="1:2">
      <c r="A728" t="s">
        <v>1565</v>
      </c>
      <c r="B728">
        <v>325765.06</v>
      </c>
    </row>
    <row r="729" spans="1:2">
      <c r="A729" t="s">
        <v>1567</v>
      </c>
      <c r="B729">
        <v>28881.83</v>
      </c>
    </row>
    <row r="730" spans="1:2">
      <c r="A730" t="s">
        <v>1569</v>
      </c>
      <c r="B730">
        <v>38761.379999999997</v>
      </c>
    </row>
    <row r="731" spans="1:2">
      <c r="A731" t="s">
        <v>1571</v>
      </c>
      <c r="B731">
        <v>321040.61</v>
      </c>
    </row>
    <row r="732" spans="1:2">
      <c r="A732" t="s">
        <v>1573</v>
      </c>
      <c r="B732">
        <v>135891.32</v>
      </c>
    </row>
    <row r="733" spans="1:2">
      <c r="A733" t="s">
        <v>1575</v>
      </c>
      <c r="B733">
        <v>34349.18</v>
      </c>
    </row>
    <row r="734" spans="1:2">
      <c r="A734" t="s">
        <v>1577</v>
      </c>
      <c r="B734">
        <v>6744.4</v>
      </c>
    </row>
    <row r="735" spans="1:2">
      <c r="A735" t="s">
        <v>1579</v>
      </c>
      <c r="B735">
        <v>560937.81999999995</v>
      </c>
    </row>
    <row r="736" spans="1:2">
      <c r="A736" t="s">
        <v>1581</v>
      </c>
      <c r="B736">
        <v>397417.48</v>
      </c>
    </row>
    <row r="737" spans="1:2">
      <c r="A737" t="s">
        <v>1583</v>
      </c>
      <c r="B737">
        <v>545048.31999999995</v>
      </c>
    </row>
    <row r="738" spans="1:2">
      <c r="A738" t="s">
        <v>1585</v>
      </c>
      <c r="B738">
        <v>101149.25</v>
      </c>
    </row>
    <row r="739" spans="1:2">
      <c r="A739" t="s">
        <v>1588</v>
      </c>
      <c r="B739">
        <v>21469.73</v>
      </c>
    </row>
    <row r="740" spans="1:2">
      <c r="A740" t="s">
        <v>1590</v>
      </c>
      <c r="B740">
        <v>39700.75</v>
      </c>
    </row>
    <row r="741" spans="1:2">
      <c r="A741" t="s">
        <v>1592</v>
      </c>
      <c r="B741">
        <v>31542.39</v>
      </c>
    </row>
    <row r="742" spans="1:2">
      <c r="A742" t="s">
        <v>1594</v>
      </c>
      <c r="B742">
        <v>1147673.67</v>
      </c>
    </row>
    <row r="743" spans="1:2">
      <c r="A743" t="s">
        <v>1597</v>
      </c>
      <c r="B743">
        <v>143035.41</v>
      </c>
    </row>
    <row r="744" spans="1:2">
      <c r="A744" t="s">
        <v>1599</v>
      </c>
      <c r="B744">
        <v>204545.5</v>
      </c>
    </row>
    <row r="745" spans="1:2">
      <c r="A745" t="s">
        <v>1601</v>
      </c>
      <c r="B745">
        <v>174655.37</v>
      </c>
    </row>
    <row r="746" spans="1:2">
      <c r="A746" t="s">
        <v>1603</v>
      </c>
      <c r="B746">
        <v>59512.15</v>
      </c>
    </row>
    <row r="747" spans="1:2">
      <c r="A747" t="s">
        <v>1605</v>
      </c>
      <c r="B747">
        <v>54144.53</v>
      </c>
    </row>
    <row r="748" spans="1:2">
      <c r="A748" t="s">
        <v>1607</v>
      </c>
      <c r="B748">
        <v>29495.040000000001</v>
      </c>
    </row>
    <row r="749" spans="1:2">
      <c r="A749" t="s">
        <v>1609</v>
      </c>
      <c r="B749">
        <v>55085.59</v>
      </c>
    </row>
    <row r="750" spans="1:2">
      <c r="A750" t="s">
        <v>1611</v>
      </c>
      <c r="B750">
        <v>18182.689999999999</v>
      </c>
    </row>
    <row r="751" spans="1:2">
      <c r="A751" t="s">
        <v>1614</v>
      </c>
      <c r="B751">
        <v>12982.71</v>
      </c>
    </row>
    <row r="752" spans="1:2">
      <c r="A752" t="s">
        <v>1616</v>
      </c>
      <c r="B752">
        <v>498278.31000000006</v>
      </c>
    </row>
    <row r="753" spans="1:2">
      <c r="A753" t="s">
        <v>1618</v>
      </c>
      <c r="B753">
        <v>102511.63</v>
      </c>
    </row>
    <row r="754" spans="1:2">
      <c r="A754" t="s">
        <v>1620</v>
      </c>
      <c r="B754">
        <v>266446.57</v>
      </c>
    </row>
    <row r="755" spans="1:2">
      <c r="A755" t="s">
        <v>1622</v>
      </c>
      <c r="B755">
        <v>476117.4</v>
      </c>
    </row>
    <row r="756" spans="1:2">
      <c r="A756" t="s">
        <v>1624</v>
      </c>
      <c r="B756">
        <v>6698.41</v>
      </c>
    </row>
    <row r="757" spans="1:2">
      <c r="A757" t="s">
        <v>1626</v>
      </c>
      <c r="B757">
        <v>199407.75</v>
      </c>
    </row>
    <row r="758" spans="1:2">
      <c r="A758" t="s">
        <v>1628</v>
      </c>
      <c r="B758">
        <v>81178.97</v>
      </c>
    </row>
    <row r="759" spans="1:2">
      <c r="A759" t="s">
        <v>1630</v>
      </c>
      <c r="B759">
        <v>79967.570000000007</v>
      </c>
    </row>
    <row r="760" spans="1:2">
      <c r="A760" t="s">
        <v>1632</v>
      </c>
      <c r="B760">
        <v>221914.34</v>
      </c>
    </row>
    <row r="761" spans="1:2">
      <c r="A761" t="s">
        <v>1634</v>
      </c>
      <c r="B761">
        <v>127091.68</v>
      </c>
    </row>
    <row r="762" spans="1:2">
      <c r="A762" t="s">
        <v>1636</v>
      </c>
      <c r="B762">
        <v>317103.77</v>
      </c>
    </row>
    <row r="763" spans="1:2">
      <c r="A763" t="s">
        <v>1639</v>
      </c>
      <c r="B763">
        <v>34790.080000000002</v>
      </c>
    </row>
    <row r="764" spans="1:2">
      <c r="A764" t="s">
        <v>1642</v>
      </c>
      <c r="B764">
        <v>152509.17000000001</v>
      </c>
    </row>
    <row r="765" spans="1:2">
      <c r="A765" t="s">
        <v>1644</v>
      </c>
      <c r="B765">
        <v>15630.89</v>
      </c>
    </row>
    <row r="766" spans="1:2">
      <c r="A766" t="s">
        <v>1647</v>
      </c>
      <c r="B766">
        <v>150307.07999999999</v>
      </c>
    </row>
    <row r="767" spans="1:2">
      <c r="A767" t="s">
        <v>1649</v>
      </c>
      <c r="B767">
        <v>19892.78</v>
      </c>
    </row>
    <row r="768" spans="1:2">
      <c r="A768" t="s">
        <v>1651</v>
      </c>
      <c r="B768">
        <v>680319.98</v>
      </c>
    </row>
    <row r="769" spans="1:2">
      <c r="A769" t="s">
        <v>1654</v>
      </c>
      <c r="B769">
        <v>184488.84</v>
      </c>
    </row>
    <row r="770" spans="1:2">
      <c r="A770" t="s">
        <v>1657</v>
      </c>
      <c r="B770">
        <v>23169.98</v>
      </c>
    </row>
    <row r="771" spans="1:2">
      <c r="A771" t="s">
        <v>1659</v>
      </c>
      <c r="B771">
        <v>480352.52</v>
      </c>
    </row>
    <row r="772" spans="1:2">
      <c r="A772" t="s">
        <v>1661</v>
      </c>
      <c r="B772">
        <v>203671.71</v>
      </c>
    </row>
    <row r="773" spans="1:2">
      <c r="A773" t="s">
        <v>1663</v>
      </c>
      <c r="B773">
        <v>193458.08</v>
      </c>
    </row>
    <row r="774" spans="1:2">
      <c r="A774" t="s">
        <v>1665</v>
      </c>
      <c r="B774">
        <v>73208.78</v>
      </c>
    </row>
    <row r="775" spans="1:2">
      <c r="A775" t="s">
        <v>1667</v>
      </c>
      <c r="B775">
        <v>317848.73</v>
      </c>
    </row>
    <row r="776" spans="1:2">
      <c r="A776" t="s">
        <v>1670</v>
      </c>
      <c r="B776">
        <v>25270.7</v>
      </c>
    </row>
    <row r="777" spans="1:2">
      <c r="A777" t="s">
        <v>1672</v>
      </c>
      <c r="B777">
        <v>20615.349999999999</v>
      </c>
    </row>
    <row r="778" spans="1:2">
      <c r="A778" t="s">
        <v>1674</v>
      </c>
      <c r="B778">
        <v>148354.78</v>
      </c>
    </row>
    <row r="779" spans="1:2">
      <c r="A779" t="s">
        <v>1676</v>
      </c>
      <c r="B779">
        <v>203006.86</v>
      </c>
    </row>
    <row r="780" spans="1:2">
      <c r="A780" t="s">
        <v>1678</v>
      </c>
      <c r="B780">
        <v>992008.59</v>
      </c>
    </row>
    <row r="781" spans="1:2">
      <c r="A781" t="s">
        <v>1680</v>
      </c>
      <c r="B781">
        <v>8492.09</v>
      </c>
    </row>
    <row r="782" spans="1:2">
      <c r="A782" t="s">
        <v>1682</v>
      </c>
      <c r="B782">
        <v>26786.42</v>
      </c>
    </row>
    <row r="783" spans="1:2">
      <c r="A783" t="s">
        <v>1684</v>
      </c>
      <c r="B783">
        <v>24028.15</v>
      </c>
    </row>
    <row r="784" spans="1:2">
      <c r="A784" t="s">
        <v>1686</v>
      </c>
      <c r="B784">
        <v>12925.29</v>
      </c>
    </row>
    <row r="785" spans="1:2">
      <c r="A785" t="s">
        <v>1688</v>
      </c>
      <c r="B785">
        <v>5000</v>
      </c>
    </row>
    <row r="786" spans="1:2">
      <c r="A786" t="s">
        <v>1690</v>
      </c>
      <c r="B786">
        <v>32383.3</v>
      </c>
    </row>
    <row r="787" spans="1:2">
      <c r="A787" t="s">
        <v>1692</v>
      </c>
      <c r="B787">
        <v>130759.8</v>
      </c>
    </row>
    <row r="788" spans="1:2">
      <c r="A788" t="s">
        <v>1695</v>
      </c>
      <c r="B788">
        <v>33227.53</v>
      </c>
    </row>
    <row r="789" spans="1:2">
      <c r="A789" t="s">
        <v>1697</v>
      </c>
      <c r="B789">
        <v>433315.51</v>
      </c>
    </row>
    <row r="790" spans="1:2">
      <c r="A790" t="s">
        <v>1699</v>
      </c>
      <c r="B790">
        <v>353607.79</v>
      </c>
    </row>
    <row r="791" spans="1:2">
      <c r="A791" t="s">
        <v>1702</v>
      </c>
      <c r="B791">
        <v>465973.42000000004</v>
      </c>
    </row>
    <row r="792" spans="1:2">
      <c r="A792" t="s">
        <v>1704</v>
      </c>
      <c r="B792">
        <v>78556.23</v>
      </c>
    </row>
    <row r="793" spans="1:2">
      <c r="A793" t="s">
        <v>1706</v>
      </c>
      <c r="B793">
        <v>11232.66</v>
      </c>
    </row>
    <row r="794" spans="1:2">
      <c r="A794" t="s">
        <v>1708</v>
      </c>
      <c r="B794">
        <v>63528.95</v>
      </c>
    </row>
    <row r="795" spans="1:2">
      <c r="A795" t="s">
        <v>1710</v>
      </c>
      <c r="B795">
        <v>92653.52</v>
      </c>
    </row>
    <row r="796" spans="1:2">
      <c r="A796" t="s">
        <v>1712</v>
      </c>
      <c r="B796">
        <v>20115.77</v>
      </c>
    </row>
    <row r="797" spans="1:2">
      <c r="A797" t="s">
        <v>1714</v>
      </c>
      <c r="B797">
        <v>77065.45</v>
      </c>
    </row>
    <row r="798" spans="1:2">
      <c r="A798" t="s">
        <v>1716</v>
      </c>
      <c r="B798">
        <v>308449.14</v>
      </c>
    </row>
    <row r="799" spans="1:2">
      <c r="A799" t="s">
        <v>1718</v>
      </c>
      <c r="B799">
        <v>63959.56</v>
      </c>
    </row>
    <row r="800" spans="1:2">
      <c r="A800" t="s">
        <v>1720</v>
      </c>
      <c r="B800">
        <v>519300.72</v>
      </c>
    </row>
    <row r="801" spans="1:2">
      <c r="A801" t="s">
        <v>1722</v>
      </c>
      <c r="B801">
        <v>370392.48</v>
      </c>
    </row>
    <row r="802" spans="1:2">
      <c r="A802" t="s">
        <v>1724</v>
      </c>
      <c r="B802">
        <v>56902.559999999998</v>
      </c>
    </row>
    <row r="803" spans="1:2">
      <c r="A803" t="s">
        <v>1726</v>
      </c>
      <c r="B803">
        <v>9797.7199999999993</v>
      </c>
    </row>
    <row r="804" spans="1:2">
      <c r="A804" t="s">
        <v>1728</v>
      </c>
      <c r="B804">
        <v>10140.450000000001</v>
      </c>
    </row>
    <row r="805" spans="1:2">
      <c r="A805" t="s">
        <v>1731</v>
      </c>
      <c r="B805">
        <v>650061.49</v>
      </c>
    </row>
    <row r="806" spans="1:2">
      <c r="A806" t="s">
        <v>1733</v>
      </c>
      <c r="B806">
        <v>153163.4</v>
      </c>
    </row>
    <row r="807" spans="1:2">
      <c r="A807" t="s">
        <v>1735</v>
      </c>
      <c r="B807">
        <v>567559.63</v>
      </c>
    </row>
    <row r="808" spans="1:2">
      <c r="A808" t="s">
        <v>1738</v>
      </c>
      <c r="B808">
        <v>89886.41</v>
      </c>
    </row>
    <row r="809" spans="1:2">
      <c r="A809" t="s">
        <v>1740</v>
      </c>
      <c r="B809">
        <v>58800.729999999996</v>
      </c>
    </row>
    <row r="810" spans="1:2">
      <c r="A810" t="s">
        <v>1742</v>
      </c>
      <c r="B810">
        <v>266247.48</v>
      </c>
    </row>
    <row r="811" spans="1:2">
      <c r="A811" t="s">
        <v>1745</v>
      </c>
      <c r="B811">
        <v>125415.11</v>
      </c>
    </row>
    <row r="812" spans="1:2">
      <c r="A812" t="s">
        <v>1747</v>
      </c>
      <c r="B812">
        <v>26165.88</v>
      </c>
    </row>
    <row r="813" spans="1:2">
      <c r="A813" t="s">
        <v>1750</v>
      </c>
      <c r="B813">
        <v>14025.11</v>
      </c>
    </row>
    <row r="814" spans="1:2">
      <c r="A814" t="s">
        <v>1752</v>
      </c>
      <c r="B814">
        <v>479557.36</v>
      </c>
    </row>
    <row r="815" spans="1:2">
      <c r="A815" t="s">
        <v>1754</v>
      </c>
      <c r="B815">
        <v>30056.22</v>
      </c>
    </row>
    <row r="816" spans="1:2">
      <c r="A816" t="s">
        <v>1756</v>
      </c>
      <c r="B816">
        <v>71078.58</v>
      </c>
    </row>
    <row r="817" spans="1:2">
      <c r="A817" t="s">
        <v>1758</v>
      </c>
      <c r="B817">
        <v>96981.37</v>
      </c>
    </row>
    <row r="818" spans="1:2">
      <c r="A818" t="s">
        <v>1760</v>
      </c>
      <c r="B818">
        <v>471054.53</v>
      </c>
    </row>
    <row r="819" spans="1:2">
      <c r="A819" t="s">
        <v>1762</v>
      </c>
      <c r="B819">
        <v>109212.15</v>
      </c>
    </row>
    <row r="820" spans="1:2">
      <c r="A820" t="s">
        <v>1764</v>
      </c>
      <c r="B820">
        <v>60059.58</v>
      </c>
    </row>
    <row r="821" spans="1:2">
      <c r="A821" t="s">
        <v>1766</v>
      </c>
      <c r="B821">
        <v>94215.58</v>
      </c>
    </row>
    <row r="822" spans="1:2">
      <c r="A822" t="s">
        <v>1768</v>
      </c>
      <c r="B822">
        <v>250625.44</v>
      </c>
    </row>
    <row r="823" spans="1:2">
      <c r="A823" t="s">
        <v>1771</v>
      </c>
      <c r="B823">
        <v>47476.37</v>
      </c>
    </row>
    <row r="824" spans="1:2">
      <c r="A824" t="s">
        <v>1773</v>
      </c>
      <c r="B824">
        <v>140550.75</v>
      </c>
    </row>
    <row r="825" spans="1:2">
      <c r="A825" t="s">
        <v>1776</v>
      </c>
      <c r="B825">
        <v>42748.62</v>
      </c>
    </row>
    <row r="826" spans="1:2">
      <c r="A826" t="s">
        <v>1778</v>
      </c>
      <c r="B826">
        <v>31410.04</v>
      </c>
    </row>
    <row r="827" spans="1:2">
      <c r="A827" t="s">
        <v>1781</v>
      </c>
      <c r="B827">
        <v>115067.5</v>
      </c>
    </row>
    <row r="828" spans="1:2">
      <c r="A828" t="s">
        <v>1783</v>
      </c>
      <c r="B828">
        <v>53325.72</v>
      </c>
    </row>
    <row r="829" spans="1:2">
      <c r="A829" t="s">
        <v>1785</v>
      </c>
      <c r="B829">
        <v>267285.98</v>
      </c>
    </row>
    <row r="830" spans="1:2">
      <c r="A830" t="s">
        <v>1787</v>
      </c>
      <c r="B830">
        <v>16900.59</v>
      </c>
    </row>
    <row r="831" spans="1:2">
      <c r="A831" t="s">
        <v>1789</v>
      </c>
      <c r="B831">
        <v>6000.9400000000005</v>
      </c>
    </row>
    <row r="832" spans="1:2">
      <c r="A832" t="s">
        <v>1791</v>
      </c>
      <c r="B832">
        <v>77164.820000000007</v>
      </c>
    </row>
    <row r="833" spans="1:2">
      <c r="A833" t="s">
        <v>1793</v>
      </c>
      <c r="B833">
        <v>1193270.8500000001</v>
      </c>
    </row>
    <row r="834" spans="1:2">
      <c r="A834" t="s">
        <v>1795</v>
      </c>
      <c r="B834">
        <v>35295.35</v>
      </c>
    </row>
    <row r="835" spans="1:2">
      <c r="A835" t="s">
        <v>1797</v>
      </c>
      <c r="B835">
        <v>62307.19</v>
      </c>
    </row>
    <row r="836" spans="1:2">
      <c r="A836" t="s">
        <v>1799</v>
      </c>
      <c r="B836">
        <v>117534.88</v>
      </c>
    </row>
    <row r="837" spans="1:2">
      <c r="A837" t="s">
        <v>1801</v>
      </c>
      <c r="B837">
        <v>141369.46</v>
      </c>
    </row>
    <row r="838" spans="1:2">
      <c r="A838" t="s">
        <v>1803</v>
      </c>
      <c r="B838">
        <v>145899.78</v>
      </c>
    </row>
    <row r="839" spans="1:2">
      <c r="A839" t="s">
        <v>1805</v>
      </c>
      <c r="B839">
        <v>480016.84</v>
      </c>
    </row>
    <row r="840" spans="1:2">
      <c r="A840" t="s">
        <v>1807</v>
      </c>
      <c r="B840">
        <v>201848.31</v>
      </c>
    </row>
    <row r="841" spans="1:2">
      <c r="A841" t="s">
        <v>1809</v>
      </c>
      <c r="B841">
        <v>19082.02</v>
      </c>
    </row>
    <row r="842" spans="1:2">
      <c r="A842" t="s">
        <v>1811</v>
      </c>
      <c r="B842">
        <v>35471.040000000001</v>
      </c>
    </row>
    <row r="843" spans="1:2">
      <c r="A843" t="s">
        <v>1813</v>
      </c>
      <c r="B843">
        <v>67471.45</v>
      </c>
    </row>
    <row r="844" spans="1:2">
      <c r="A844" t="s">
        <v>1815</v>
      </c>
      <c r="B844">
        <v>564376.17000000004</v>
      </c>
    </row>
    <row r="845" spans="1:2">
      <c r="A845" t="s">
        <v>1817</v>
      </c>
      <c r="B845">
        <v>21307.439999999999</v>
      </c>
    </row>
    <row r="846" spans="1:2">
      <c r="A846" t="s">
        <v>1819</v>
      </c>
      <c r="B846">
        <v>22377.759999999998</v>
      </c>
    </row>
    <row r="847" spans="1:2">
      <c r="A847" t="s">
        <v>1821</v>
      </c>
      <c r="B847">
        <v>16167.82</v>
      </c>
    </row>
    <row r="848" spans="1:2">
      <c r="A848" t="s">
        <v>1826</v>
      </c>
      <c r="B848">
        <v>1085115.3</v>
      </c>
    </row>
    <row r="849" spans="1:2">
      <c r="A849" t="s">
        <v>1828</v>
      </c>
      <c r="B849">
        <v>87856.37</v>
      </c>
    </row>
    <row r="850" spans="1:2">
      <c r="A850" t="s">
        <v>1830</v>
      </c>
      <c r="B850">
        <v>451480</v>
      </c>
    </row>
    <row r="851" spans="1:2">
      <c r="A851" t="s">
        <v>1832</v>
      </c>
      <c r="B851">
        <v>240639.61</v>
      </c>
    </row>
    <row r="852" spans="1:2">
      <c r="A852" t="s">
        <v>1835</v>
      </c>
      <c r="B852">
        <v>221386.35</v>
      </c>
    </row>
    <row r="853" spans="1:2">
      <c r="A853" t="s">
        <v>1837</v>
      </c>
      <c r="B853">
        <v>70485.009999999995</v>
      </c>
    </row>
    <row r="854" spans="1:2">
      <c r="A854" t="s">
        <v>1840</v>
      </c>
      <c r="B854">
        <v>1040526.48</v>
      </c>
    </row>
    <row r="855" spans="1:2">
      <c r="A855" t="s">
        <v>1842</v>
      </c>
      <c r="B855">
        <v>36516.839999999997</v>
      </c>
    </row>
    <row r="856" spans="1:2">
      <c r="A856" t="s">
        <v>1845</v>
      </c>
      <c r="B856">
        <v>23985.73</v>
      </c>
    </row>
    <row r="857" spans="1:2">
      <c r="A857" t="s">
        <v>1847</v>
      </c>
      <c r="B857">
        <v>22084.01</v>
      </c>
    </row>
    <row r="858" spans="1:2">
      <c r="A858" t="s">
        <v>1849</v>
      </c>
      <c r="B858">
        <v>235131.87</v>
      </c>
    </row>
    <row r="859" spans="1:2">
      <c r="A859" t="s">
        <v>1851</v>
      </c>
      <c r="B859">
        <v>191643.33</v>
      </c>
    </row>
    <row r="860" spans="1:2">
      <c r="A860" t="s">
        <v>1853</v>
      </c>
      <c r="B860">
        <v>21560.65</v>
      </c>
    </row>
    <row r="861" spans="1:2">
      <c r="A861" t="s">
        <v>1855</v>
      </c>
      <c r="B861">
        <v>60510.86</v>
      </c>
    </row>
    <row r="862" spans="1:2">
      <c r="A862" t="s">
        <v>1857</v>
      </c>
      <c r="B862">
        <v>575133.57999999996</v>
      </c>
    </row>
    <row r="863" spans="1:2">
      <c r="A863" t="s">
        <v>1859</v>
      </c>
      <c r="B863">
        <v>243891.03</v>
      </c>
    </row>
    <row r="864" spans="1:2">
      <c r="A864" t="s">
        <v>1861</v>
      </c>
      <c r="B864">
        <v>698784.1</v>
      </c>
    </row>
    <row r="865" spans="1:2">
      <c r="A865" t="s">
        <v>1863</v>
      </c>
      <c r="B865">
        <v>92008.36</v>
      </c>
    </row>
    <row r="866" spans="1:2">
      <c r="A866" t="s">
        <v>1865</v>
      </c>
      <c r="B866">
        <v>618897.98</v>
      </c>
    </row>
    <row r="867" spans="1:2">
      <c r="A867" t="s">
        <v>1867</v>
      </c>
      <c r="B867">
        <v>274898.94</v>
      </c>
    </row>
    <row r="868" spans="1:2">
      <c r="A868" t="s">
        <v>1869</v>
      </c>
      <c r="B868">
        <v>24396.54</v>
      </c>
    </row>
    <row r="869" spans="1:2">
      <c r="A869" t="s">
        <v>1872</v>
      </c>
      <c r="B869">
        <v>24879.200000000001</v>
      </c>
    </row>
    <row r="870" spans="1:2">
      <c r="A870" t="s">
        <v>1874</v>
      </c>
      <c r="B870">
        <v>15233.56</v>
      </c>
    </row>
    <row r="871" spans="1:2">
      <c r="A871" t="s">
        <v>1876</v>
      </c>
      <c r="B871">
        <v>56010.14</v>
      </c>
    </row>
    <row r="872" spans="1:2">
      <c r="A872" t="s">
        <v>1878</v>
      </c>
      <c r="B872">
        <v>706804.35</v>
      </c>
    </row>
    <row r="873" spans="1:2">
      <c r="A873" t="s">
        <v>1880</v>
      </c>
      <c r="B873">
        <v>670887.15</v>
      </c>
    </row>
    <row r="874" spans="1:2">
      <c r="A874" t="s">
        <v>1882</v>
      </c>
      <c r="B874">
        <v>64645.7</v>
      </c>
    </row>
    <row r="875" spans="1:2">
      <c r="A875" t="s">
        <v>1884</v>
      </c>
      <c r="B875">
        <v>118347.62</v>
      </c>
    </row>
    <row r="876" spans="1:2">
      <c r="A876" t="s">
        <v>1886</v>
      </c>
      <c r="B876">
        <v>45548.29</v>
      </c>
    </row>
    <row r="877" spans="1:2">
      <c r="A877" t="s">
        <v>1889</v>
      </c>
      <c r="B877">
        <v>66045.56</v>
      </c>
    </row>
    <row r="878" spans="1:2">
      <c r="A878" t="s">
        <v>1891</v>
      </c>
      <c r="B878">
        <v>43927.47</v>
      </c>
    </row>
    <row r="879" spans="1:2">
      <c r="A879" t="s">
        <v>1893</v>
      </c>
      <c r="B879">
        <v>731983.59</v>
      </c>
    </row>
    <row r="880" spans="1:2">
      <c r="A880" t="s">
        <v>1895</v>
      </c>
      <c r="B880">
        <v>99266.6</v>
      </c>
    </row>
    <row r="881" spans="1:2">
      <c r="A881" t="s">
        <v>1897</v>
      </c>
      <c r="B881">
        <v>44731.68</v>
      </c>
    </row>
    <row r="882" spans="1:2">
      <c r="A882" t="s">
        <v>1899</v>
      </c>
      <c r="B882">
        <v>161848.87</v>
      </c>
    </row>
    <row r="883" spans="1:2">
      <c r="A883" t="s">
        <v>1903</v>
      </c>
      <c r="B883">
        <v>28565.09</v>
      </c>
    </row>
    <row r="884" spans="1:2">
      <c r="A884" t="s">
        <v>1905</v>
      </c>
      <c r="B884">
        <v>150172.91</v>
      </c>
    </row>
    <row r="885" spans="1:2">
      <c r="A885" t="s">
        <v>1908</v>
      </c>
      <c r="B885">
        <v>30463.82</v>
      </c>
    </row>
    <row r="886" spans="1:2">
      <c r="A886" t="s">
        <v>1910</v>
      </c>
      <c r="B886">
        <v>557484.42000000004</v>
      </c>
    </row>
    <row r="887" spans="1:2">
      <c r="A887" t="s">
        <v>1913</v>
      </c>
      <c r="B887">
        <v>325370.12</v>
      </c>
    </row>
    <row r="888" spans="1:2">
      <c r="A888" t="s">
        <v>1915</v>
      </c>
      <c r="B888">
        <v>786856.6</v>
      </c>
    </row>
    <row r="889" spans="1:2">
      <c r="A889" t="s">
        <v>1918</v>
      </c>
      <c r="B889">
        <v>199742.78</v>
      </c>
    </row>
    <row r="890" spans="1:2">
      <c r="A890" t="s">
        <v>1920</v>
      </c>
      <c r="B890">
        <v>2000000</v>
      </c>
    </row>
    <row r="891" spans="1:2">
      <c r="A891" t="s">
        <v>1922</v>
      </c>
      <c r="B891">
        <v>233980.15</v>
      </c>
    </row>
    <row r="892" spans="1:2">
      <c r="A892" t="s">
        <v>1924</v>
      </c>
      <c r="B892">
        <v>14376.29</v>
      </c>
    </row>
    <row r="893" spans="1:2">
      <c r="A893" t="s">
        <v>1926</v>
      </c>
      <c r="B893">
        <v>25744.720000000001</v>
      </c>
    </row>
    <row r="894" spans="1:2">
      <c r="A894" t="s">
        <v>1929</v>
      </c>
      <c r="B894">
        <v>27974.97</v>
      </c>
    </row>
    <row r="895" spans="1:2">
      <c r="A895" t="s">
        <v>1932</v>
      </c>
      <c r="B895">
        <v>48731.95</v>
      </c>
    </row>
    <row r="896" spans="1:2">
      <c r="A896" t="s">
        <v>1934</v>
      </c>
      <c r="B896">
        <v>48002.53</v>
      </c>
    </row>
    <row r="897" spans="1:2">
      <c r="A897" t="s">
        <v>1936</v>
      </c>
      <c r="B897">
        <v>14576.91</v>
      </c>
    </row>
    <row r="898" spans="1:2">
      <c r="A898" t="s">
        <v>1938</v>
      </c>
      <c r="B898">
        <v>74265.84</v>
      </c>
    </row>
    <row r="899" spans="1:2">
      <c r="A899" t="s">
        <v>1940</v>
      </c>
      <c r="B899">
        <v>764420.43</v>
      </c>
    </row>
    <row r="900" spans="1:2">
      <c r="A900" t="s">
        <v>1943</v>
      </c>
      <c r="B900">
        <v>798147.48</v>
      </c>
    </row>
    <row r="901" spans="1:2">
      <c r="A901" t="s">
        <v>1945</v>
      </c>
      <c r="B901">
        <v>491338.04</v>
      </c>
    </row>
    <row r="902" spans="1:2">
      <c r="A902" t="s">
        <v>1947</v>
      </c>
      <c r="B902">
        <v>192818.87</v>
      </c>
    </row>
    <row r="903" spans="1:2">
      <c r="A903" t="s">
        <v>1949</v>
      </c>
      <c r="B903">
        <v>103985.58</v>
      </c>
    </row>
    <row r="904" spans="1:2">
      <c r="A904" t="s">
        <v>1952</v>
      </c>
      <c r="B904">
        <v>507305.9</v>
      </c>
    </row>
    <row r="905" spans="1:2">
      <c r="A905" t="s">
        <v>1954</v>
      </c>
      <c r="B905">
        <v>5289.05</v>
      </c>
    </row>
    <row r="906" spans="1:2">
      <c r="A906" t="s">
        <v>1956</v>
      </c>
      <c r="B906">
        <v>273433.34000000003</v>
      </c>
    </row>
    <row r="907" spans="1:2">
      <c r="A907" t="s">
        <v>1958</v>
      </c>
      <c r="B907">
        <v>111510.5</v>
      </c>
    </row>
    <row r="908" spans="1:2">
      <c r="A908" t="s">
        <v>1960</v>
      </c>
      <c r="B908">
        <v>133174.57999999999</v>
      </c>
    </row>
    <row r="909" spans="1:2">
      <c r="A909" t="s">
        <v>1963</v>
      </c>
      <c r="B909">
        <v>53019.49</v>
      </c>
    </row>
    <row r="910" spans="1:2">
      <c r="A910" t="s">
        <v>1965</v>
      </c>
      <c r="B910">
        <v>129344.12</v>
      </c>
    </row>
    <row r="911" spans="1:2">
      <c r="A911" t="s">
        <v>1967</v>
      </c>
      <c r="B911">
        <v>49262.03</v>
      </c>
    </row>
    <row r="912" spans="1:2">
      <c r="A912" t="s">
        <v>1969</v>
      </c>
      <c r="B912">
        <v>7291.65</v>
      </c>
    </row>
    <row r="913" spans="1:2">
      <c r="A913" t="s">
        <v>1971</v>
      </c>
      <c r="B913">
        <v>27998.33</v>
      </c>
    </row>
    <row r="914" spans="1:2">
      <c r="A914" t="s">
        <v>1974</v>
      </c>
      <c r="B914">
        <v>1646635.62</v>
      </c>
    </row>
    <row r="915" spans="1:2">
      <c r="A915" t="s">
        <v>1976</v>
      </c>
      <c r="B915">
        <v>55096.06</v>
      </c>
    </row>
    <row r="916" spans="1:2">
      <c r="A916" t="s">
        <v>1978</v>
      </c>
      <c r="B916">
        <v>27201.06</v>
      </c>
    </row>
    <row r="917" spans="1:2">
      <c r="A917" t="s">
        <v>1980</v>
      </c>
      <c r="B917">
        <v>463294.53</v>
      </c>
    </row>
    <row r="918" spans="1:2">
      <c r="A918" t="s">
        <v>1982</v>
      </c>
      <c r="B918">
        <v>200721</v>
      </c>
    </row>
    <row r="919" spans="1:2">
      <c r="A919" t="s">
        <v>1984</v>
      </c>
      <c r="B919">
        <v>223451.12</v>
      </c>
    </row>
    <row r="920" spans="1:2">
      <c r="A920" t="s">
        <v>1987</v>
      </c>
      <c r="B920">
        <v>565519.84</v>
      </c>
    </row>
    <row r="921" spans="1:2">
      <c r="A921" t="s">
        <v>1989</v>
      </c>
      <c r="B921">
        <v>158911.54999999999</v>
      </c>
    </row>
    <row r="922" spans="1:2">
      <c r="A922" t="s">
        <v>1991</v>
      </c>
      <c r="B922">
        <v>38401.020000000004</v>
      </c>
    </row>
    <row r="923" spans="1:2">
      <c r="A923" t="s">
        <v>1993</v>
      </c>
      <c r="B923">
        <v>104505.31</v>
      </c>
    </row>
    <row r="924" spans="1:2">
      <c r="A924" t="s">
        <v>1995</v>
      </c>
      <c r="B924">
        <v>95184.34</v>
      </c>
    </row>
    <row r="925" spans="1:2">
      <c r="A925" t="s">
        <v>1997</v>
      </c>
      <c r="B925">
        <v>70336.95</v>
      </c>
    </row>
    <row r="926" spans="1:2">
      <c r="A926" t="s">
        <v>2000</v>
      </c>
      <c r="B926">
        <v>1088400.78</v>
      </c>
    </row>
    <row r="927" spans="1:2">
      <c r="A927" t="s">
        <v>2003</v>
      </c>
      <c r="B927">
        <v>335059.68</v>
      </c>
    </row>
    <row r="928" spans="1:2">
      <c r="A928" t="s">
        <v>2005</v>
      </c>
      <c r="B928">
        <v>233976.68</v>
      </c>
    </row>
    <row r="929" spans="1:2">
      <c r="A929" t="s">
        <v>2007</v>
      </c>
      <c r="B929">
        <v>74194.240000000005</v>
      </c>
    </row>
    <row r="930" spans="1:2">
      <c r="A930" t="s">
        <v>2009</v>
      </c>
      <c r="B930">
        <v>23187.02</v>
      </c>
    </row>
    <row r="931" spans="1:2">
      <c r="A931" t="s">
        <v>2011</v>
      </c>
      <c r="B931">
        <v>866583.09</v>
      </c>
    </row>
    <row r="932" spans="1:2">
      <c r="A932" t="s">
        <v>2013</v>
      </c>
      <c r="B932">
        <v>16378.65</v>
      </c>
    </row>
    <row r="933" spans="1:2">
      <c r="A933" t="s">
        <v>2015</v>
      </c>
      <c r="B933">
        <v>50918.05</v>
      </c>
    </row>
    <row r="934" spans="1:2">
      <c r="A934" t="s">
        <v>2017</v>
      </c>
      <c r="B934">
        <v>136237.28</v>
      </c>
    </row>
    <row r="935" spans="1:2">
      <c r="A935" t="s">
        <v>2019</v>
      </c>
      <c r="B935">
        <v>19344.98</v>
      </c>
    </row>
    <row r="936" spans="1:2">
      <c r="A936" t="s">
        <v>2021</v>
      </c>
      <c r="B936">
        <v>191112.64</v>
      </c>
    </row>
    <row r="937" spans="1:2">
      <c r="A937" t="s">
        <v>2023</v>
      </c>
      <c r="B937">
        <v>56752.68</v>
      </c>
    </row>
    <row r="938" spans="1:2">
      <c r="A938" t="s">
        <v>2025</v>
      </c>
      <c r="B938">
        <v>185212.83</v>
      </c>
    </row>
    <row r="939" spans="1:2">
      <c r="A939" t="s">
        <v>2029</v>
      </c>
      <c r="B939">
        <v>74308.78</v>
      </c>
    </row>
    <row r="940" spans="1:2">
      <c r="A940" t="s">
        <v>2031</v>
      </c>
      <c r="B940">
        <v>15515.76</v>
      </c>
    </row>
    <row r="941" spans="1:2">
      <c r="A941" t="s">
        <v>2033</v>
      </c>
      <c r="B941">
        <v>8433.49</v>
      </c>
    </row>
    <row r="942" spans="1:2">
      <c r="A942" t="s">
        <v>2035</v>
      </c>
      <c r="B942">
        <v>349819.29</v>
      </c>
    </row>
    <row r="943" spans="1:2">
      <c r="A943" t="s">
        <v>2037</v>
      </c>
      <c r="B943">
        <v>35009.58</v>
      </c>
    </row>
    <row r="944" spans="1:2">
      <c r="A944" t="s">
        <v>2039</v>
      </c>
      <c r="B944">
        <v>998545.23</v>
      </c>
    </row>
    <row r="945" spans="1:2">
      <c r="A945" t="s">
        <v>2041</v>
      </c>
      <c r="B945">
        <v>984283.07</v>
      </c>
    </row>
    <row r="946" spans="1:2">
      <c r="A946" t="s">
        <v>2045</v>
      </c>
      <c r="B946">
        <v>22234.07</v>
      </c>
    </row>
    <row r="947" spans="1:2">
      <c r="A947" t="s">
        <v>2047</v>
      </c>
      <c r="B947">
        <v>10461.08</v>
      </c>
    </row>
    <row r="948" spans="1:2">
      <c r="A948" t="s">
        <v>2049</v>
      </c>
      <c r="B948">
        <v>24434.04</v>
      </c>
    </row>
    <row r="949" spans="1:2">
      <c r="A949" t="s">
        <v>2051</v>
      </c>
      <c r="B949">
        <v>36282.449999999997</v>
      </c>
    </row>
    <row r="950" spans="1:2">
      <c r="A950" t="s">
        <v>2053</v>
      </c>
      <c r="B950">
        <v>91770.79</v>
      </c>
    </row>
    <row r="951" spans="1:2">
      <c r="A951" t="s">
        <v>2055</v>
      </c>
      <c r="B951">
        <v>390208.66</v>
      </c>
    </row>
    <row r="952" spans="1:2">
      <c r="A952" t="s">
        <v>2057</v>
      </c>
      <c r="B952">
        <v>36585.19</v>
      </c>
    </row>
    <row r="953" spans="1:2">
      <c r="A953" t="s">
        <v>2059</v>
      </c>
      <c r="B953">
        <v>282593.86</v>
      </c>
    </row>
    <row r="954" spans="1:2">
      <c r="A954" t="s">
        <v>2061</v>
      </c>
      <c r="B954">
        <v>117960.61</v>
      </c>
    </row>
    <row r="955" spans="1:2">
      <c r="A955" t="s">
        <v>2064</v>
      </c>
      <c r="B955">
        <v>48048.92</v>
      </c>
    </row>
    <row r="956" spans="1:2">
      <c r="A956" t="s">
        <v>2066</v>
      </c>
      <c r="B956">
        <v>562515.16</v>
      </c>
    </row>
    <row r="957" spans="1:2">
      <c r="A957" t="s">
        <v>2069</v>
      </c>
      <c r="B957">
        <v>37810</v>
      </c>
    </row>
    <row r="958" spans="1:2">
      <c r="A958" t="s">
        <v>2071</v>
      </c>
      <c r="B958">
        <v>339695.69</v>
      </c>
    </row>
    <row r="959" spans="1:2">
      <c r="A959" t="s">
        <v>2073</v>
      </c>
      <c r="B959">
        <v>38186.720000000001</v>
      </c>
    </row>
    <row r="960" spans="1:2">
      <c r="A960" t="s">
        <v>2075</v>
      </c>
      <c r="B960">
        <v>2000000</v>
      </c>
    </row>
    <row r="961" spans="1:2">
      <c r="A961" t="s">
        <v>2077</v>
      </c>
      <c r="B961">
        <v>180147.88</v>
      </c>
    </row>
    <row r="962" spans="1:2">
      <c r="A962" t="s">
        <v>2079</v>
      </c>
      <c r="B962">
        <v>109638.7</v>
      </c>
    </row>
    <row r="963" spans="1:2">
      <c r="A963" t="s">
        <v>2081</v>
      </c>
      <c r="B963">
        <v>66386.02</v>
      </c>
    </row>
    <row r="964" spans="1:2">
      <c r="A964" t="s">
        <v>2083</v>
      </c>
      <c r="B964">
        <v>156379.76</v>
      </c>
    </row>
    <row r="965" spans="1:2">
      <c r="A965" t="s">
        <v>2085</v>
      </c>
      <c r="B965">
        <v>107573.15</v>
      </c>
    </row>
    <row r="966" spans="1:2">
      <c r="A966" t="s">
        <v>2087</v>
      </c>
      <c r="B966">
        <v>60811.21</v>
      </c>
    </row>
    <row r="967" spans="1:2">
      <c r="A967" t="s">
        <v>2089</v>
      </c>
      <c r="B967">
        <v>167254.47999999998</v>
      </c>
    </row>
    <row r="968" spans="1:2">
      <c r="A968" t="s">
        <v>2091</v>
      </c>
      <c r="B968">
        <v>65146.27</v>
      </c>
    </row>
    <row r="969" spans="1:2">
      <c r="A969" t="s">
        <v>2093</v>
      </c>
      <c r="B969">
        <v>151254.04999999999</v>
      </c>
    </row>
    <row r="970" spans="1:2">
      <c r="A970" t="s">
        <v>2095</v>
      </c>
      <c r="B970">
        <v>9550.4699999999993</v>
      </c>
    </row>
    <row r="971" spans="1:2">
      <c r="A971" t="s">
        <v>2097</v>
      </c>
      <c r="B971">
        <v>21746.17</v>
      </c>
    </row>
    <row r="972" spans="1:2">
      <c r="A972" t="s">
        <v>2099</v>
      </c>
      <c r="B972">
        <v>26945.18</v>
      </c>
    </row>
    <row r="973" spans="1:2">
      <c r="A973" t="s">
        <v>2101</v>
      </c>
      <c r="B973">
        <v>207701.82</v>
      </c>
    </row>
    <row r="974" spans="1:2">
      <c r="A974" t="s">
        <v>2103</v>
      </c>
      <c r="B974">
        <v>209640.64</v>
      </c>
    </row>
    <row r="975" spans="1:2">
      <c r="A975" t="s">
        <v>2105</v>
      </c>
      <c r="B975">
        <v>62723.88</v>
      </c>
    </row>
    <row r="976" spans="1:2">
      <c r="A976" t="s">
        <v>2107</v>
      </c>
      <c r="B976">
        <v>179146.39</v>
      </c>
    </row>
    <row r="977" spans="1:2">
      <c r="A977" t="s">
        <v>2109</v>
      </c>
      <c r="B977">
        <v>279756.88</v>
      </c>
    </row>
    <row r="978" spans="1:2">
      <c r="A978" t="s">
        <v>2111</v>
      </c>
      <c r="B978">
        <v>65487.42</v>
      </c>
    </row>
    <row r="979" spans="1:2">
      <c r="A979" t="s">
        <v>2113</v>
      </c>
      <c r="B979">
        <v>42784.04</v>
      </c>
    </row>
    <row r="980" spans="1:2">
      <c r="A980" t="s">
        <v>2115</v>
      </c>
      <c r="B980">
        <v>5000</v>
      </c>
    </row>
    <row r="981" spans="1:2">
      <c r="A981" t="s">
        <v>2117</v>
      </c>
      <c r="B981">
        <v>48826.81</v>
      </c>
    </row>
    <row r="982" spans="1:2">
      <c r="A982" t="s">
        <v>2119</v>
      </c>
      <c r="B982">
        <v>173685.65</v>
      </c>
    </row>
    <row r="983" spans="1:2">
      <c r="A983" t="s">
        <v>2121</v>
      </c>
      <c r="B983">
        <v>59032.88</v>
      </c>
    </row>
    <row r="984" spans="1:2">
      <c r="A984" t="s">
        <v>2123</v>
      </c>
      <c r="B984">
        <v>75870.289999999994</v>
      </c>
    </row>
    <row r="985" spans="1:2">
      <c r="A985" t="s">
        <v>2127</v>
      </c>
      <c r="B985">
        <v>225708.19</v>
      </c>
    </row>
    <row r="986" spans="1:2">
      <c r="A986" t="s">
        <v>2129</v>
      </c>
      <c r="B986">
        <v>227159.17</v>
      </c>
    </row>
    <row r="987" spans="1:2">
      <c r="A987" t="s">
        <v>2131</v>
      </c>
      <c r="B987">
        <v>52910.04</v>
      </c>
    </row>
    <row r="988" spans="1:2">
      <c r="A988" t="s">
        <v>2133</v>
      </c>
      <c r="B988">
        <v>405359.83</v>
      </c>
    </row>
    <row r="989" spans="1:2">
      <c r="A989" t="s">
        <v>2135</v>
      </c>
      <c r="B989">
        <v>7847.4</v>
      </c>
    </row>
    <row r="990" spans="1:2">
      <c r="A990" t="s">
        <v>2138</v>
      </c>
      <c r="B990">
        <v>5000</v>
      </c>
    </row>
    <row r="991" spans="1:2">
      <c r="A991" t="s">
        <v>2140</v>
      </c>
      <c r="B991">
        <v>163973.78</v>
      </c>
    </row>
    <row r="992" spans="1:2">
      <c r="A992" t="s">
        <v>2142</v>
      </c>
      <c r="B992">
        <v>1397143.66</v>
      </c>
    </row>
    <row r="993" spans="1:2">
      <c r="A993" t="s">
        <v>2145</v>
      </c>
      <c r="B993">
        <v>29053.65</v>
      </c>
    </row>
    <row r="994" spans="1:2">
      <c r="A994" t="s">
        <v>2147</v>
      </c>
      <c r="B994">
        <v>484926.36</v>
      </c>
    </row>
    <row r="995" spans="1:2">
      <c r="A995" t="s">
        <v>2149</v>
      </c>
      <c r="B995">
        <v>226780.92</v>
      </c>
    </row>
    <row r="996" spans="1:2">
      <c r="A996" t="s">
        <v>2151</v>
      </c>
      <c r="B996">
        <v>250121.07</v>
      </c>
    </row>
    <row r="997" spans="1:2">
      <c r="A997" t="s">
        <v>2155</v>
      </c>
      <c r="B997">
        <v>64129.14</v>
      </c>
    </row>
    <row r="998" spans="1:2">
      <c r="A998" t="s">
        <v>2159</v>
      </c>
      <c r="B998">
        <v>36128.57</v>
      </c>
    </row>
    <row r="999" spans="1:2">
      <c r="A999" t="s">
        <v>2161</v>
      </c>
      <c r="B999">
        <v>328119.59999999998</v>
      </c>
    </row>
    <row r="1000" spans="1:2">
      <c r="A1000" t="s">
        <v>2164</v>
      </c>
      <c r="B1000">
        <v>74822.570000000007</v>
      </c>
    </row>
    <row r="1001" spans="1:2">
      <c r="A1001" t="s">
        <v>2166</v>
      </c>
      <c r="B1001">
        <v>162066.34</v>
      </c>
    </row>
    <row r="1002" spans="1:2">
      <c r="A1002" t="s">
        <v>2168</v>
      </c>
      <c r="B1002">
        <v>122472.19</v>
      </c>
    </row>
    <row r="1003" spans="1:2">
      <c r="A1003" t="s">
        <v>2170</v>
      </c>
      <c r="B1003">
        <v>36239.339999999997</v>
      </c>
    </row>
    <row r="1004" spans="1:2">
      <c r="A1004" t="s">
        <v>2172</v>
      </c>
      <c r="B1004">
        <v>548932.19999999995</v>
      </c>
    </row>
    <row r="1005" spans="1:2">
      <c r="A1005" t="s">
        <v>2174</v>
      </c>
      <c r="B1005">
        <v>69560.08</v>
      </c>
    </row>
    <row r="1006" spans="1:2">
      <c r="A1006" t="s">
        <v>2177</v>
      </c>
      <c r="B1006">
        <v>66351.39</v>
      </c>
    </row>
    <row r="1007" spans="1:2">
      <c r="A1007" t="s">
        <v>2179</v>
      </c>
      <c r="B1007">
        <v>34585.019999999997</v>
      </c>
    </row>
    <row r="1008" spans="1:2">
      <c r="A1008" t="s">
        <v>2181</v>
      </c>
      <c r="B1008">
        <v>304742.81</v>
      </c>
    </row>
    <row r="1009" spans="1:2">
      <c r="A1009" t="s">
        <v>2184</v>
      </c>
      <c r="B1009">
        <v>248686.84</v>
      </c>
    </row>
    <row r="1010" spans="1:2">
      <c r="A1010" t="s">
        <v>2186</v>
      </c>
      <c r="B1010">
        <v>120274.05</v>
      </c>
    </row>
    <row r="1011" spans="1:2">
      <c r="A1011" t="s">
        <v>2188</v>
      </c>
      <c r="B1011">
        <v>58226.27</v>
      </c>
    </row>
    <row r="1012" spans="1:2">
      <c r="A1012" t="s">
        <v>2191</v>
      </c>
      <c r="B1012">
        <v>392289.27</v>
      </c>
    </row>
    <row r="1013" spans="1:2">
      <c r="A1013" t="s">
        <v>2193</v>
      </c>
      <c r="B1013">
        <v>2000000</v>
      </c>
    </row>
    <row r="1014" spans="1:2">
      <c r="A1014" t="s">
        <v>2195</v>
      </c>
      <c r="B1014">
        <v>15835.27</v>
      </c>
    </row>
    <row r="1015" spans="1:2">
      <c r="A1015" t="s">
        <v>2198</v>
      </c>
      <c r="B1015">
        <v>360577.97</v>
      </c>
    </row>
    <row r="1016" spans="1:2">
      <c r="A1016" t="s">
        <v>2200</v>
      </c>
      <c r="B1016">
        <v>57634.15</v>
      </c>
    </row>
    <row r="1017" spans="1:2">
      <c r="A1017" t="s">
        <v>2202</v>
      </c>
      <c r="B1017">
        <v>22299.42</v>
      </c>
    </row>
    <row r="1018" spans="1:2">
      <c r="A1018" t="s">
        <v>2204</v>
      </c>
      <c r="B1018">
        <v>441197.27</v>
      </c>
    </row>
    <row r="1019" spans="1:2">
      <c r="A1019" t="s">
        <v>2206</v>
      </c>
      <c r="B1019">
        <v>134175.16</v>
      </c>
    </row>
    <row r="1020" spans="1:2">
      <c r="A1020" t="s">
        <v>2208</v>
      </c>
      <c r="B1020">
        <v>59032.56</v>
      </c>
    </row>
    <row r="1021" spans="1:2">
      <c r="A1021" t="s">
        <v>2212</v>
      </c>
      <c r="B1021">
        <v>272074.48</v>
      </c>
    </row>
    <row r="1022" spans="1:2">
      <c r="A1022" t="s">
        <v>2214</v>
      </c>
      <c r="B1022">
        <v>12873.93</v>
      </c>
    </row>
    <row r="1023" spans="1:2">
      <c r="A1023" t="s">
        <v>2216</v>
      </c>
      <c r="B1023">
        <v>18253.689999999999</v>
      </c>
    </row>
    <row r="1024" spans="1:2">
      <c r="A1024" t="s">
        <v>2220</v>
      </c>
      <c r="B1024">
        <v>249378.01</v>
      </c>
    </row>
    <row r="1025" spans="1:2">
      <c r="A1025" t="s">
        <v>2222</v>
      </c>
      <c r="B1025">
        <v>39686.85</v>
      </c>
    </row>
    <row r="1026" spans="1:2">
      <c r="A1026" t="s">
        <v>2224</v>
      </c>
      <c r="B1026">
        <v>507556.12</v>
      </c>
    </row>
    <row r="1027" spans="1:2">
      <c r="A1027" t="s">
        <v>2226</v>
      </c>
      <c r="B1027">
        <v>326088.31</v>
      </c>
    </row>
    <row r="1028" spans="1:2">
      <c r="A1028" t="s">
        <v>2229</v>
      </c>
      <c r="B1028">
        <v>93775.31</v>
      </c>
    </row>
    <row r="1029" spans="1:2">
      <c r="A1029" t="s">
        <v>2231</v>
      </c>
      <c r="B1029">
        <v>12971.82</v>
      </c>
    </row>
    <row r="1030" spans="1:2">
      <c r="A1030" t="s">
        <v>2233</v>
      </c>
      <c r="B1030">
        <v>1454109.2</v>
      </c>
    </row>
    <row r="1031" spans="1:2">
      <c r="A1031" t="s">
        <v>2235</v>
      </c>
      <c r="B1031">
        <v>15683.88</v>
      </c>
    </row>
    <row r="1032" spans="1:2">
      <c r="A1032" t="s">
        <v>2237</v>
      </c>
      <c r="B1032">
        <v>56904.68</v>
      </c>
    </row>
    <row r="1033" spans="1:2">
      <c r="A1033" t="s">
        <v>2239</v>
      </c>
      <c r="B1033">
        <v>42541.84</v>
      </c>
    </row>
    <row r="1034" spans="1:2">
      <c r="A1034" t="s">
        <v>2244</v>
      </c>
      <c r="B1034">
        <v>2000000</v>
      </c>
    </row>
    <row r="1035" spans="1:2">
      <c r="A1035" t="s">
        <v>2246</v>
      </c>
      <c r="B1035">
        <v>103609.2</v>
      </c>
    </row>
    <row r="1036" spans="1:2">
      <c r="A1036" t="s">
        <v>2248</v>
      </c>
      <c r="B1036">
        <v>167031.98000000001</v>
      </c>
    </row>
    <row r="1037" spans="1:2">
      <c r="A1037" t="s">
        <v>2251</v>
      </c>
      <c r="B1037">
        <v>40287.18</v>
      </c>
    </row>
    <row r="1038" spans="1:2">
      <c r="A1038" t="s">
        <v>2253</v>
      </c>
      <c r="B1038">
        <v>31772</v>
      </c>
    </row>
    <row r="1039" spans="1:2">
      <c r="A1039" t="s">
        <v>2255</v>
      </c>
      <c r="B1039">
        <v>58086.74</v>
      </c>
    </row>
    <row r="1040" spans="1:2">
      <c r="A1040" t="s">
        <v>2257</v>
      </c>
      <c r="B1040">
        <v>190371.28</v>
      </c>
    </row>
    <row r="1041" spans="1:2">
      <c r="A1041" t="s">
        <v>2259</v>
      </c>
      <c r="B1041">
        <v>14598.57</v>
      </c>
    </row>
    <row r="1042" spans="1:2">
      <c r="A1042" t="s">
        <v>2261</v>
      </c>
      <c r="B1042">
        <v>45664.49</v>
      </c>
    </row>
    <row r="1043" spans="1:2">
      <c r="A1043" t="s">
        <v>2263</v>
      </c>
      <c r="B1043">
        <v>112528.53</v>
      </c>
    </row>
    <row r="1044" spans="1:2">
      <c r="A1044" t="s">
        <v>2267</v>
      </c>
      <c r="B1044">
        <v>12545.91</v>
      </c>
    </row>
    <row r="1045" spans="1:2">
      <c r="A1045" t="s">
        <v>2269</v>
      </c>
      <c r="B1045">
        <v>192689.15</v>
      </c>
    </row>
    <row r="1046" spans="1:2">
      <c r="A1046" t="s">
        <v>2271</v>
      </c>
      <c r="B1046">
        <v>388993.55</v>
      </c>
    </row>
    <row r="1047" spans="1:2">
      <c r="A1047" t="s">
        <v>2274</v>
      </c>
      <c r="B1047">
        <v>351222.2</v>
      </c>
    </row>
    <row r="1048" spans="1:2">
      <c r="A1048" t="s">
        <v>2276</v>
      </c>
      <c r="B1048">
        <v>1782979</v>
      </c>
    </row>
    <row r="1049" spans="1:2">
      <c r="A1049" t="s">
        <v>2278</v>
      </c>
      <c r="B1049">
        <v>2000000</v>
      </c>
    </row>
    <row r="1050" spans="1:2">
      <c r="A1050" t="s">
        <v>2280</v>
      </c>
      <c r="B1050">
        <v>2000000</v>
      </c>
    </row>
    <row r="1051" spans="1:2">
      <c r="A1051" t="s">
        <v>2282</v>
      </c>
      <c r="B1051">
        <v>13529.18</v>
      </c>
    </row>
    <row r="1052" spans="1:2">
      <c r="A1052" t="s">
        <v>2284</v>
      </c>
      <c r="B1052">
        <v>1184226.1599999999</v>
      </c>
    </row>
    <row r="1053" spans="1:2">
      <c r="A1053" t="s">
        <v>2287</v>
      </c>
      <c r="B1053">
        <v>95350.19</v>
      </c>
    </row>
    <row r="1054" spans="1:2">
      <c r="A1054" t="s">
        <v>2289</v>
      </c>
      <c r="B1054">
        <v>24177.89</v>
      </c>
    </row>
    <row r="1055" spans="1:2">
      <c r="A1055" t="s">
        <v>2291</v>
      </c>
      <c r="B1055">
        <v>68797.100000000006</v>
      </c>
    </row>
    <row r="1056" spans="1:2">
      <c r="A1056" t="s">
        <v>2293</v>
      </c>
      <c r="B1056">
        <v>68199.31</v>
      </c>
    </row>
    <row r="1057" spans="1:2">
      <c r="A1057" t="s">
        <v>2296</v>
      </c>
      <c r="B1057">
        <v>29081.93</v>
      </c>
    </row>
    <row r="1058" spans="1:2">
      <c r="A1058" t="s">
        <v>2298</v>
      </c>
      <c r="B1058">
        <v>31472.04</v>
      </c>
    </row>
    <row r="1059" spans="1:2">
      <c r="A1059" t="s">
        <v>2300</v>
      </c>
      <c r="B1059">
        <v>59236.95</v>
      </c>
    </row>
    <row r="1060" spans="1:2">
      <c r="A1060" t="s">
        <v>2302</v>
      </c>
      <c r="B1060">
        <v>327092.28999999998</v>
      </c>
    </row>
    <row r="1061" spans="1:2">
      <c r="A1061" t="s">
        <v>2304</v>
      </c>
      <c r="B1061">
        <v>9596.51</v>
      </c>
    </row>
    <row r="1062" spans="1:2">
      <c r="A1062" t="s">
        <v>2306</v>
      </c>
      <c r="B1062">
        <v>62276.49</v>
      </c>
    </row>
    <row r="1063" spans="1:2">
      <c r="A1063" t="s">
        <v>2308</v>
      </c>
      <c r="B1063">
        <v>870356.15</v>
      </c>
    </row>
    <row r="1064" spans="1:2">
      <c r="A1064" t="s">
        <v>2310</v>
      </c>
      <c r="B1064">
        <v>22661.5</v>
      </c>
    </row>
    <row r="1065" spans="1:2">
      <c r="A1065" t="s">
        <v>2312</v>
      </c>
      <c r="B1065">
        <v>348863.68</v>
      </c>
    </row>
    <row r="1066" spans="1:2">
      <c r="A1066" t="s">
        <v>2315</v>
      </c>
      <c r="B1066">
        <v>92055.679999999993</v>
      </c>
    </row>
    <row r="1067" spans="1:2">
      <c r="A1067" t="s">
        <v>2317</v>
      </c>
      <c r="B1067">
        <v>48504.08</v>
      </c>
    </row>
    <row r="1068" spans="1:2">
      <c r="A1068" t="s">
        <v>2319</v>
      </c>
      <c r="B1068">
        <v>39511.03</v>
      </c>
    </row>
    <row r="1069" spans="1:2">
      <c r="A1069" t="s">
        <v>2321</v>
      </c>
      <c r="B1069">
        <v>71881.53</v>
      </c>
    </row>
    <row r="1070" spans="1:2">
      <c r="A1070" t="s">
        <v>2323</v>
      </c>
      <c r="B1070">
        <v>176183.66</v>
      </c>
    </row>
    <row r="1071" spans="1:2">
      <c r="A1071" t="s">
        <v>2327</v>
      </c>
      <c r="B1071">
        <v>326361.84999999998</v>
      </c>
    </row>
    <row r="1072" spans="1:2">
      <c r="A1072" t="s">
        <v>2329</v>
      </c>
      <c r="B1072">
        <v>113551.38</v>
      </c>
    </row>
    <row r="1073" spans="1:2">
      <c r="A1073" t="s">
        <v>2331</v>
      </c>
      <c r="B1073">
        <v>72994.740000000005</v>
      </c>
    </row>
    <row r="1074" spans="1:2">
      <c r="A1074" t="s">
        <v>2333</v>
      </c>
      <c r="B1074">
        <v>1258759.5</v>
      </c>
    </row>
    <row r="1075" spans="1:2">
      <c r="A1075" t="s">
        <v>2335</v>
      </c>
      <c r="B1075">
        <v>30771.74</v>
      </c>
    </row>
    <row r="1076" spans="1:2">
      <c r="A1076" t="s">
        <v>2337</v>
      </c>
      <c r="B1076">
        <v>109351.75</v>
      </c>
    </row>
    <row r="1077" spans="1:2">
      <c r="A1077" t="s">
        <v>2340</v>
      </c>
      <c r="B1077">
        <v>75696.23</v>
      </c>
    </row>
    <row r="1078" spans="1:2">
      <c r="A1078" t="s">
        <v>2342</v>
      </c>
      <c r="B1078">
        <v>262188.28000000003</v>
      </c>
    </row>
    <row r="1079" spans="1:2">
      <c r="A1079" t="s">
        <v>2344</v>
      </c>
      <c r="B1079">
        <v>87656.49</v>
      </c>
    </row>
    <row r="1080" spans="1:2">
      <c r="A1080" t="s">
        <v>2346</v>
      </c>
      <c r="B1080">
        <v>51534.36</v>
      </c>
    </row>
    <row r="1081" spans="1:2">
      <c r="A1081" t="s">
        <v>2348</v>
      </c>
      <c r="B1081">
        <v>124702.07</v>
      </c>
    </row>
    <row r="1082" spans="1:2">
      <c r="A1082" t="s">
        <v>2350</v>
      </c>
      <c r="B1082">
        <v>266489</v>
      </c>
    </row>
    <row r="1083" spans="1:2">
      <c r="A1083" t="s">
        <v>2352</v>
      </c>
      <c r="B1083">
        <v>1164095.3700000001</v>
      </c>
    </row>
    <row r="1084" spans="1:2">
      <c r="A1084" t="s">
        <v>2354</v>
      </c>
      <c r="B1084">
        <v>16616.78</v>
      </c>
    </row>
    <row r="1085" spans="1:2">
      <c r="A1085" t="s">
        <v>2356</v>
      </c>
      <c r="B1085">
        <v>166981.01</v>
      </c>
    </row>
    <row r="1086" spans="1:2">
      <c r="A1086" t="s">
        <v>2358</v>
      </c>
      <c r="B1086">
        <v>92313.16</v>
      </c>
    </row>
    <row r="1087" spans="1:2">
      <c r="A1087" t="s">
        <v>2360</v>
      </c>
      <c r="B1087">
        <v>132052.89000000001</v>
      </c>
    </row>
    <row r="1088" spans="1:2">
      <c r="A1088" t="s">
        <v>2362</v>
      </c>
      <c r="B1088">
        <v>95588.41</v>
      </c>
    </row>
    <row r="1089" spans="1:2">
      <c r="A1089" t="s">
        <v>2364</v>
      </c>
      <c r="B1089">
        <v>48436.39</v>
      </c>
    </row>
    <row r="1090" spans="1:2">
      <c r="A1090" t="s">
        <v>2366</v>
      </c>
      <c r="B1090">
        <v>2000000</v>
      </c>
    </row>
    <row r="1091" spans="1:2">
      <c r="A1091" t="s">
        <v>2368</v>
      </c>
      <c r="B1091">
        <v>96128.09</v>
      </c>
    </row>
    <row r="1092" spans="1:2">
      <c r="A1092" t="s">
        <v>2370</v>
      </c>
      <c r="B1092">
        <v>194243.89</v>
      </c>
    </row>
    <row r="1093" spans="1:2">
      <c r="A1093" t="s">
        <v>2372</v>
      </c>
      <c r="B1093">
        <v>196471.9</v>
      </c>
    </row>
    <row r="1094" spans="1:2">
      <c r="A1094" t="s">
        <v>2374</v>
      </c>
      <c r="B1094">
        <v>16897.3</v>
      </c>
    </row>
    <row r="1095" spans="1:2">
      <c r="A1095" t="s">
        <v>2376</v>
      </c>
      <c r="B1095">
        <v>83652.03</v>
      </c>
    </row>
    <row r="1096" spans="1:2">
      <c r="A1096" t="s">
        <v>2378</v>
      </c>
      <c r="B1096">
        <v>196731.7</v>
      </c>
    </row>
    <row r="1097" spans="1:2">
      <c r="A1097" t="s">
        <v>2380</v>
      </c>
      <c r="B1097">
        <v>11794.5</v>
      </c>
    </row>
    <row r="1098" spans="1:2">
      <c r="A1098" t="s">
        <v>2382</v>
      </c>
      <c r="B1098">
        <v>417755.41</v>
      </c>
    </row>
    <row r="1099" spans="1:2">
      <c r="A1099" t="s">
        <v>2384</v>
      </c>
      <c r="B1099">
        <v>36236.97</v>
      </c>
    </row>
    <row r="1100" spans="1:2">
      <c r="A1100" t="s">
        <v>2386</v>
      </c>
      <c r="B1100">
        <v>141595.65</v>
      </c>
    </row>
    <row r="1101" spans="1:2">
      <c r="A1101" t="s">
        <v>2388</v>
      </c>
      <c r="B1101">
        <v>54251.5</v>
      </c>
    </row>
    <row r="1102" spans="1:2">
      <c r="A1102" t="s">
        <v>2390</v>
      </c>
      <c r="B1102">
        <v>38862.1</v>
      </c>
    </row>
    <row r="1103" spans="1:2">
      <c r="A1103" t="s">
        <v>2392</v>
      </c>
      <c r="B1103">
        <v>59211.05</v>
      </c>
    </row>
    <row r="1104" spans="1:2">
      <c r="A1104" t="s">
        <v>2394</v>
      </c>
      <c r="B1104">
        <v>16912.27</v>
      </c>
    </row>
    <row r="1105" spans="1:2">
      <c r="A1105" t="s">
        <v>2396</v>
      </c>
      <c r="B1105">
        <v>658845.54</v>
      </c>
    </row>
    <row r="1106" spans="1:2">
      <c r="A1106" t="s">
        <v>2398</v>
      </c>
      <c r="B1106">
        <v>162068.39000000001</v>
      </c>
    </row>
    <row r="1107" spans="1:2">
      <c r="A1107" t="s">
        <v>2403</v>
      </c>
      <c r="B1107">
        <v>645974.92000000004</v>
      </c>
    </row>
    <row r="1108" spans="1:2">
      <c r="A1108" t="s">
        <v>2405</v>
      </c>
      <c r="B1108">
        <v>25550.769999999997</v>
      </c>
    </row>
    <row r="1109" spans="1:2">
      <c r="A1109" t="s">
        <v>2407</v>
      </c>
      <c r="B1109">
        <v>643134.42000000004</v>
      </c>
    </row>
    <row r="1110" spans="1:2">
      <c r="A1110" t="s">
        <v>2409</v>
      </c>
      <c r="B1110">
        <v>330734.19</v>
      </c>
    </row>
    <row r="1111" spans="1:2">
      <c r="A1111" t="s">
        <v>2411</v>
      </c>
      <c r="B1111">
        <v>671676.31</v>
      </c>
    </row>
    <row r="1112" spans="1:2">
      <c r="A1112" t="s">
        <v>2413</v>
      </c>
      <c r="B1112">
        <v>469278.71999999997</v>
      </c>
    </row>
    <row r="1113" spans="1:2">
      <c r="A1113" t="s">
        <v>2415</v>
      </c>
      <c r="B1113">
        <v>350001.05</v>
      </c>
    </row>
    <row r="1114" spans="1:2">
      <c r="A1114" t="s">
        <v>2419</v>
      </c>
      <c r="B1114">
        <v>32069.57</v>
      </c>
    </row>
    <row r="1115" spans="1:2">
      <c r="A1115" t="s">
        <v>2421</v>
      </c>
      <c r="B1115">
        <v>3555.47</v>
      </c>
    </row>
    <row r="1116" spans="1:2">
      <c r="A1116" t="s">
        <v>2423</v>
      </c>
      <c r="B1116">
        <v>142559.67999999999</v>
      </c>
    </row>
    <row r="1117" spans="1:2">
      <c r="A1117" t="s">
        <v>2425</v>
      </c>
      <c r="B1117">
        <v>86145.56</v>
      </c>
    </row>
    <row r="1118" spans="1:2">
      <c r="A1118" t="s">
        <v>2427</v>
      </c>
      <c r="B1118">
        <v>220143.09</v>
      </c>
    </row>
    <row r="1119" spans="1:2">
      <c r="A1119" t="s">
        <v>2429</v>
      </c>
      <c r="B1119">
        <v>1205777.1200000001</v>
      </c>
    </row>
    <row r="1120" spans="1:2">
      <c r="A1120" t="s">
        <v>2431</v>
      </c>
      <c r="B1120">
        <v>768460.32</v>
      </c>
    </row>
    <row r="1121" spans="1:2">
      <c r="A1121" t="s">
        <v>2433</v>
      </c>
      <c r="B1121">
        <v>63098.81</v>
      </c>
    </row>
    <row r="1122" spans="1:2">
      <c r="A1122" t="s">
        <v>2435</v>
      </c>
      <c r="B1122">
        <v>95946.51</v>
      </c>
    </row>
    <row r="1123" spans="1:2">
      <c r="A1123" t="s">
        <v>2437</v>
      </c>
      <c r="B1123">
        <v>50616.66</v>
      </c>
    </row>
    <row r="1124" spans="1:2">
      <c r="A1124" t="s">
        <v>2440</v>
      </c>
      <c r="B1124">
        <v>305662.87</v>
      </c>
    </row>
    <row r="1125" spans="1:2">
      <c r="A1125" t="s">
        <v>2442</v>
      </c>
      <c r="B1125">
        <v>461416.71</v>
      </c>
    </row>
    <row r="1126" spans="1:2">
      <c r="A1126" t="s">
        <v>2444</v>
      </c>
      <c r="B1126">
        <v>33413.050000000003</v>
      </c>
    </row>
    <row r="1127" spans="1:2">
      <c r="A1127" t="s">
        <v>2446</v>
      </c>
      <c r="B1127">
        <v>69713.3</v>
      </c>
    </row>
    <row r="1128" spans="1:2">
      <c r="A1128" t="s">
        <v>2448</v>
      </c>
      <c r="B1128">
        <v>383836.89</v>
      </c>
    </row>
    <row r="1129" spans="1:2">
      <c r="A1129" t="s">
        <v>2450</v>
      </c>
      <c r="B1129">
        <v>28947.58</v>
      </c>
    </row>
    <row r="1130" spans="1:2">
      <c r="A1130" t="s">
        <v>2452</v>
      </c>
      <c r="B1130">
        <v>61980.55</v>
      </c>
    </row>
    <row r="1131" spans="1:2">
      <c r="A1131" t="s">
        <v>2454</v>
      </c>
      <c r="B1131">
        <v>603638.18000000005</v>
      </c>
    </row>
    <row r="1132" spans="1:2">
      <c r="A1132" t="s">
        <v>2456</v>
      </c>
      <c r="B1132">
        <v>629125.32999999996</v>
      </c>
    </row>
    <row r="1133" spans="1:2">
      <c r="A1133" t="s">
        <v>2458</v>
      </c>
      <c r="B1133">
        <v>677358.32</v>
      </c>
    </row>
    <row r="1134" spans="1:2">
      <c r="A1134" t="s">
        <v>2460</v>
      </c>
      <c r="B1134">
        <v>1037429.25</v>
      </c>
    </row>
    <row r="1135" spans="1:2">
      <c r="A1135" t="s">
        <v>2462</v>
      </c>
      <c r="B1135">
        <v>16083.2</v>
      </c>
    </row>
    <row r="1136" spans="1:2">
      <c r="A1136" t="s">
        <v>2464</v>
      </c>
      <c r="B1136">
        <v>11940.8</v>
      </c>
    </row>
    <row r="1137" spans="1:2">
      <c r="A1137" t="s">
        <v>2466</v>
      </c>
      <c r="B1137">
        <v>95766.06</v>
      </c>
    </row>
    <row r="1138" spans="1:2">
      <c r="A1138" t="s">
        <v>2468</v>
      </c>
      <c r="B1138">
        <v>28476</v>
      </c>
    </row>
    <row r="1139" spans="1:2">
      <c r="A1139" t="s">
        <v>2472</v>
      </c>
      <c r="B1139">
        <v>24034.41</v>
      </c>
    </row>
    <row r="1140" spans="1:2">
      <c r="A1140" t="s">
        <v>2474</v>
      </c>
      <c r="B1140">
        <v>146499.17000000001</v>
      </c>
    </row>
    <row r="1141" spans="1:2">
      <c r="A1141" t="s">
        <v>2477</v>
      </c>
      <c r="B1141">
        <v>71466.899999999994</v>
      </c>
    </row>
    <row r="1142" spans="1:2">
      <c r="A1142" t="s">
        <v>2479</v>
      </c>
      <c r="B1142">
        <v>29440.55</v>
      </c>
    </row>
    <row r="1143" spans="1:2">
      <c r="A1143" t="s">
        <v>2481</v>
      </c>
      <c r="B1143">
        <v>361258.04</v>
      </c>
    </row>
    <row r="1144" spans="1:2">
      <c r="A1144" t="s">
        <v>2484</v>
      </c>
      <c r="B1144">
        <v>132203.70000000001</v>
      </c>
    </row>
    <row r="1145" spans="1:2">
      <c r="A1145" t="s">
        <v>2486</v>
      </c>
      <c r="B1145">
        <v>57552.4</v>
      </c>
    </row>
    <row r="1146" spans="1:2">
      <c r="A1146" t="s">
        <v>2488</v>
      </c>
      <c r="B1146">
        <v>71698.33</v>
      </c>
    </row>
    <row r="1147" spans="1:2">
      <c r="A1147" t="s">
        <v>2490</v>
      </c>
      <c r="B1147">
        <v>180652.27</v>
      </c>
    </row>
    <row r="1148" spans="1:2">
      <c r="A1148" t="s">
        <v>2492</v>
      </c>
      <c r="B1148">
        <v>7754.04</v>
      </c>
    </row>
    <row r="1149" spans="1:2">
      <c r="A1149" t="s">
        <v>2494</v>
      </c>
      <c r="B1149">
        <v>78395.87</v>
      </c>
    </row>
    <row r="1150" spans="1:2">
      <c r="A1150" t="s">
        <v>2496</v>
      </c>
      <c r="B1150">
        <v>669562.4</v>
      </c>
    </row>
    <row r="1151" spans="1:2">
      <c r="A1151" t="s">
        <v>2498</v>
      </c>
      <c r="B1151">
        <v>1028441.01</v>
      </c>
    </row>
    <row r="1152" spans="1:2">
      <c r="A1152" t="s">
        <v>2500</v>
      </c>
      <c r="B1152">
        <v>54508.7</v>
      </c>
    </row>
    <row r="1153" spans="1:2">
      <c r="A1153" t="s">
        <v>2502</v>
      </c>
      <c r="B1153">
        <v>10016.86</v>
      </c>
    </row>
    <row r="1154" spans="1:2">
      <c r="A1154" t="s">
        <v>2505</v>
      </c>
      <c r="B1154">
        <v>641961.55000000005</v>
      </c>
    </row>
    <row r="1155" spans="1:2">
      <c r="A1155" t="s">
        <v>2507</v>
      </c>
      <c r="B1155">
        <v>236150.73</v>
      </c>
    </row>
    <row r="1156" spans="1:2">
      <c r="A1156" t="s">
        <v>2509</v>
      </c>
      <c r="B1156">
        <v>189288.77</v>
      </c>
    </row>
    <row r="1157" spans="1:2">
      <c r="A1157" t="s">
        <v>2511</v>
      </c>
      <c r="B1157">
        <v>284617.7</v>
      </c>
    </row>
    <row r="1158" spans="1:2">
      <c r="A1158" t="s">
        <v>2514</v>
      </c>
      <c r="B1158">
        <v>145689.60999999999</v>
      </c>
    </row>
    <row r="1159" spans="1:2">
      <c r="A1159" t="s">
        <v>2516</v>
      </c>
      <c r="B1159">
        <v>698487.39</v>
      </c>
    </row>
    <row r="1160" spans="1:2">
      <c r="A1160" t="s">
        <v>2518</v>
      </c>
      <c r="B1160">
        <v>850334.92</v>
      </c>
    </row>
    <row r="1161" spans="1:2">
      <c r="A1161" t="s">
        <v>2522</v>
      </c>
      <c r="B1161">
        <v>61723.37</v>
      </c>
    </row>
    <row r="1162" spans="1:2">
      <c r="A1162" t="s">
        <v>2524</v>
      </c>
      <c r="B1162">
        <v>129006.69</v>
      </c>
    </row>
    <row r="1163" spans="1:2">
      <c r="A1163" t="s">
        <v>2526</v>
      </c>
      <c r="B1163">
        <v>1375753.27</v>
      </c>
    </row>
    <row r="1164" spans="1:2">
      <c r="A1164" t="s">
        <v>2528</v>
      </c>
      <c r="B1164">
        <v>712354.53</v>
      </c>
    </row>
    <row r="1165" spans="1:2">
      <c r="A1165" t="s">
        <v>2530</v>
      </c>
      <c r="B1165">
        <v>650089.53</v>
      </c>
    </row>
    <row r="1166" spans="1:2">
      <c r="A1166" t="s">
        <v>2532</v>
      </c>
      <c r="B1166">
        <v>29254.6</v>
      </c>
    </row>
    <row r="1167" spans="1:2">
      <c r="A1167" t="s">
        <v>2534</v>
      </c>
      <c r="B1167">
        <v>241231.04</v>
      </c>
    </row>
    <row r="1168" spans="1:2">
      <c r="A1168" t="s">
        <v>2536</v>
      </c>
      <c r="B1168">
        <v>60702.1</v>
      </c>
    </row>
    <row r="1169" spans="1:2">
      <c r="A1169" t="s">
        <v>2538</v>
      </c>
      <c r="B1169">
        <v>141714.6</v>
      </c>
    </row>
    <row r="1170" spans="1:2">
      <c r="A1170" t="s">
        <v>2541</v>
      </c>
      <c r="B1170">
        <v>149119.99</v>
      </c>
    </row>
    <row r="1171" spans="1:2">
      <c r="A1171" t="s">
        <v>2543</v>
      </c>
      <c r="B1171">
        <v>25346.78</v>
      </c>
    </row>
    <row r="1172" spans="1:2">
      <c r="A1172" t="s">
        <v>2545</v>
      </c>
      <c r="B1172">
        <v>262774.07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80CD-0CA1-4F2D-84BE-07D7053BC860}">
  <dimension ref="A1:F1362"/>
  <sheetViews>
    <sheetView workbookViewId="0"/>
  </sheetViews>
  <sheetFormatPr defaultRowHeight="15"/>
  <cols>
    <col min="1" max="1" width="21" bestFit="1" customWidth="1"/>
    <col min="2" max="2" width="16" bestFit="1" customWidth="1"/>
    <col min="3" max="3" width="15.85546875" bestFit="1" customWidth="1"/>
    <col min="4" max="4" width="15.42578125" bestFit="1" customWidth="1"/>
    <col min="5" max="5" width="14.28515625" bestFit="1" customWidth="1"/>
    <col min="6" max="6" width="16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s="1">
        <v>46120</v>
      </c>
      <c r="E2">
        <v>12448.86</v>
      </c>
      <c r="F2" t="s">
        <v>9</v>
      </c>
    </row>
    <row r="3" spans="1:6">
      <c r="A3" t="s">
        <v>6</v>
      </c>
      <c r="B3" t="s">
        <v>10</v>
      </c>
      <c r="C3" t="s">
        <v>11</v>
      </c>
      <c r="D3" s="1">
        <v>46121</v>
      </c>
      <c r="E3">
        <v>214337.16</v>
      </c>
      <c r="F3" t="s">
        <v>9</v>
      </c>
    </row>
    <row r="4" spans="1:6">
      <c r="A4" t="s">
        <v>6</v>
      </c>
      <c r="B4" t="s">
        <v>12</v>
      </c>
      <c r="C4" t="s">
        <v>13</v>
      </c>
      <c r="D4" s="1">
        <v>46121</v>
      </c>
      <c r="E4">
        <v>42793.120000000003</v>
      </c>
      <c r="F4" t="s">
        <v>9</v>
      </c>
    </row>
    <row r="5" spans="1:6">
      <c r="A5" t="s">
        <v>6</v>
      </c>
      <c r="B5" t="s">
        <v>14</v>
      </c>
      <c r="C5" t="s">
        <v>15</v>
      </c>
      <c r="D5" s="1">
        <v>46122</v>
      </c>
      <c r="E5">
        <v>4596.45</v>
      </c>
      <c r="F5" t="s">
        <v>16</v>
      </c>
    </row>
    <row r="6" spans="1:6">
      <c r="A6" t="s">
        <v>6</v>
      </c>
      <c r="B6" t="s">
        <v>17</v>
      </c>
      <c r="C6" t="s">
        <v>18</v>
      </c>
      <c r="D6" s="1">
        <v>46122</v>
      </c>
      <c r="E6">
        <v>94579.43</v>
      </c>
      <c r="F6" t="s">
        <v>9</v>
      </c>
    </row>
    <row r="7" spans="1:6">
      <c r="A7" t="s">
        <v>6</v>
      </c>
      <c r="B7" t="s">
        <v>19</v>
      </c>
      <c r="C7" t="s">
        <v>20</v>
      </c>
      <c r="D7" s="1">
        <v>46123</v>
      </c>
      <c r="E7">
        <v>51572.18</v>
      </c>
      <c r="F7" t="s">
        <v>16</v>
      </c>
    </row>
    <row r="8" spans="1:6">
      <c r="A8" t="s">
        <v>6</v>
      </c>
      <c r="B8" t="s">
        <v>21</v>
      </c>
      <c r="C8" t="s">
        <v>22</v>
      </c>
      <c r="D8" s="1">
        <v>46124</v>
      </c>
      <c r="E8">
        <v>36169.97</v>
      </c>
      <c r="F8" t="s">
        <v>9</v>
      </c>
    </row>
    <row r="9" spans="1:6">
      <c r="A9" t="s">
        <v>6</v>
      </c>
      <c r="B9" t="s">
        <v>23</v>
      </c>
      <c r="C9" t="s">
        <v>18</v>
      </c>
      <c r="D9" s="1">
        <v>46125</v>
      </c>
      <c r="E9">
        <v>130450.95</v>
      </c>
      <c r="F9" t="s">
        <v>9</v>
      </c>
    </row>
    <row r="10" spans="1:6">
      <c r="A10" t="s">
        <v>6</v>
      </c>
      <c r="B10" t="s">
        <v>24</v>
      </c>
      <c r="C10" t="s">
        <v>25</v>
      </c>
      <c r="D10" s="1">
        <v>46126</v>
      </c>
      <c r="E10">
        <v>27448.39</v>
      </c>
      <c r="F10" t="s">
        <v>26</v>
      </c>
    </row>
    <row r="11" spans="1:6">
      <c r="A11" t="s">
        <v>6</v>
      </c>
      <c r="B11" t="s">
        <v>27</v>
      </c>
      <c r="C11" t="s">
        <v>28</v>
      </c>
      <c r="D11" s="1">
        <v>46126</v>
      </c>
      <c r="E11">
        <v>99962.32</v>
      </c>
      <c r="F11" t="s">
        <v>9</v>
      </c>
    </row>
    <row r="12" spans="1:6">
      <c r="A12" t="s">
        <v>6</v>
      </c>
      <c r="B12" t="s">
        <v>29</v>
      </c>
      <c r="C12" t="s">
        <v>30</v>
      </c>
      <c r="D12" s="1">
        <v>46126</v>
      </c>
      <c r="E12">
        <v>7264.56</v>
      </c>
      <c r="F12" t="s">
        <v>16</v>
      </c>
    </row>
    <row r="13" spans="1:6">
      <c r="A13" t="s">
        <v>6</v>
      </c>
      <c r="B13" t="s">
        <v>31</v>
      </c>
      <c r="C13" t="s">
        <v>32</v>
      </c>
      <c r="D13" s="1">
        <v>46126</v>
      </c>
      <c r="E13">
        <v>60018.64</v>
      </c>
      <c r="F13" t="s">
        <v>9</v>
      </c>
    </row>
    <row r="14" spans="1:6">
      <c r="A14" t="s">
        <v>6</v>
      </c>
      <c r="B14" t="s">
        <v>33</v>
      </c>
      <c r="C14" t="s">
        <v>34</v>
      </c>
      <c r="D14" s="1">
        <v>46127</v>
      </c>
      <c r="E14">
        <v>94500.37</v>
      </c>
      <c r="F14" t="s">
        <v>9</v>
      </c>
    </row>
    <row r="15" spans="1:6">
      <c r="A15" t="s">
        <v>6</v>
      </c>
      <c r="B15" t="s">
        <v>35</v>
      </c>
      <c r="C15" t="s">
        <v>36</v>
      </c>
      <c r="D15" s="1">
        <v>46128</v>
      </c>
      <c r="E15">
        <v>546706.82999999996</v>
      </c>
      <c r="F15" t="s">
        <v>26</v>
      </c>
    </row>
    <row r="16" spans="1:6">
      <c r="A16" t="s">
        <v>6</v>
      </c>
      <c r="B16" t="s">
        <v>37</v>
      </c>
      <c r="C16" t="s">
        <v>38</v>
      </c>
      <c r="D16" s="1">
        <v>46129</v>
      </c>
      <c r="E16">
        <v>8175.72</v>
      </c>
      <c r="F16" t="s">
        <v>26</v>
      </c>
    </row>
    <row r="17" spans="1:6">
      <c r="A17" t="s">
        <v>6</v>
      </c>
      <c r="B17" t="s">
        <v>39</v>
      </c>
      <c r="C17" t="s">
        <v>40</v>
      </c>
      <c r="D17" s="1">
        <v>46129</v>
      </c>
      <c r="E17">
        <v>22124.76</v>
      </c>
      <c r="F17" t="s">
        <v>26</v>
      </c>
    </row>
    <row r="18" spans="1:6">
      <c r="A18" t="s">
        <v>6</v>
      </c>
      <c r="B18" t="s">
        <v>41</v>
      </c>
      <c r="C18" t="s">
        <v>8</v>
      </c>
      <c r="D18" s="1">
        <v>46129</v>
      </c>
      <c r="E18">
        <v>27180.65</v>
      </c>
      <c r="F18" t="s">
        <v>26</v>
      </c>
    </row>
    <row r="19" spans="1:6">
      <c r="A19" t="s">
        <v>6</v>
      </c>
      <c r="B19" t="s">
        <v>42</v>
      </c>
      <c r="C19" t="s">
        <v>43</v>
      </c>
      <c r="D19" s="1">
        <v>46129</v>
      </c>
      <c r="E19">
        <v>24514.11</v>
      </c>
      <c r="F19" t="s">
        <v>26</v>
      </c>
    </row>
    <row r="20" spans="1:6">
      <c r="A20" t="s">
        <v>6</v>
      </c>
      <c r="B20" t="s">
        <v>44</v>
      </c>
      <c r="C20" t="s">
        <v>45</v>
      </c>
      <c r="D20" s="1">
        <v>46130</v>
      </c>
      <c r="E20">
        <v>27230.9</v>
      </c>
      <c r="F20" t="s">
        <v>9</v>
      </c>
    </row>
    <row r="21" spans="1:6">
      <c r="A21" t="s">
        <v>6</v>
      </c>
      <c r="B21" t="s">
        <v>46</v>
      </c>
      <c r="C21" t="s">
        <v>47</v>
      </c>
      <c r="D21" s="1">
        <v>46130</v>
      </c>
      <c r="E21">
        <v>1765522.45</v>
      </c>
      <c r="F21" t="s">
        <v>16</v>
      </c>
    </row>
    <row r="22" spans="1:6">
      <c r="A22" t="s">
        <v>6</v>
      </c>
      <c r="B22" t="s">
        <v>48</v>
      </c>
      <c r="C22" t="s">
        <v>49</v>
      </c>
      <c r="D22" s="1">
        <v>46130</v>
      </c>
      <c r="E22">
        <v>9219.24</v>
      </c>
      <c r="F22" t="s">
        <v>9</v>
      </c>
    </row>
    <row r="23" spans="1:6">
      <c r="A23" t="s">
        <v>6</v>
      </c>
      <c r="B23" t="s">
        <v>50</v>
      </c>
      <c r="C23" t="s">
        <v>51</v>
      </c>
      <c r="D23" s="1">
        <v>46130</v>
      </c>
      <c r="E23">
        <v>48338.559999999998</v>
      </c>
      <c r="F23" t="s">
        <v>9</v>
      </c>
    </row>
    <row r="24" spans="1:6">
      <c r="A24" t="s">
        <v>6</v>
      </c>
      <c r="B24" t="s">
        <v>52</v>
      </c>
      <c r="C24" t="s">
        <v>53</v>
      </c>
      <c r="D24" s="1">
        <v>46131</v>
      </c>
      <c r="E24">
        <v>108158.82</v>
      </c>
      <c r="F24" t="s">
        <v>16</v>
      </c>
    </row>
    <row r="25" spans="1:6">
      <c r="A25" t="s">
        <v>6</v>
      </c>
      <c r="B25" t="s">
        <v>54</v>
      </c>
      <c r="C25" t="s">
        <v>55</v>
      </c>
      <c r="D25" s="1">
        <v>46131</v>
      </c>
      <c r="E25">
        <v>140287.85999999999</v>
      </c>
      <c r="F25" t="s">
        <v>9</v>
      </c>
    </row>
    <row r="26" spans="1:6">
      <c r="A26" t="s">
        <v>6</v>
      </c>
      <c r="B26" t="s">
        <v>56</v>
      </c>
      <c r="C26" t="s">
        <v>57</v>
      </c>
      <c r="D26" s="1">
        <v>46132</v>
      </c>
      <c r="E26">
        <v>665301.81000000006</v>
      </c>
      <c r="F26" t="s">
        <v>16</v>
      </c>
    </row>
    <row r="27" spans="1:6">
      <c r="A27" t="s">
        <v>6</v>
      </c>
      <c r="B27" t="s">
        <v>58</v>
      </c>
      <c r="C27" t="s">
        <v>59</v>
      </c>
      <c r="D27" s="1">
        <v>46132</v>
      </c>
      <c r="E27">
        <v>22098.71</v>
      </c>
      <c r="F27" t="s">
        <v>16</v>
      </c>
    </row>
    <row r="28" spans="1:6">
      <c r="A28" t="s">
        <v>6</v>
      </c>
      <c r="B28" t="s">
        <v>60</v>
      </c>
      <c r="C28" t="s">
        <v>61</v>
      </c>
      <c r="D28" s="1">
        <v>46132</v>
      </c>
      <c r="E28">
        <v>53355.13</v>
      </c>
      <c r="F28" t="s">
        <v>9</v>
      </c>
    </row>
    <row r="29" spans="1:6">
      <c r="A29" t="s">
        <v>6</v>
      </c>
      <c r="B29" t="s">
        <v>62</v>
      </c>
      <c r="C29" t="s">
        <v>63</v>
      </c>
      <c r="D29" s="1">
        <v>46132</v>
      </c>
      <c r="E29">
        <v>219919.95</v>
      </c>
      <c r="F29" t="s">
        <v>9</v>
      </c>
    </row>
    <row r="30" spans="1:6">
      <c r="A30" t="s">
        <v>6</v>
      </c>
      <c r="B30" t="s">
        <v>64</v>
      </c>
      <c r="C30" t="s">
        <v>65</v>
      </c>
      <c r="D30" s="1">
        <v>46132</v>
      </c>
      <c r="E30">
        <v>88282.99</v>
      </c>
      <c r="F30" t="s">
        <v>9</v>
      </c>
    </row>
    <row r="31" spans="1:6">
      <c r="A31" t="s">
        <v>6</v>
      </c>
      <c r="B31" t="s">
        <v>66</v>
      </c>
      <c r="C31" t="s">
        <v>67</v>
      </c>
      <c r="D31" s="1">
        <v>46132</v>
      </c>
      <c r="E31">
        <v>53036.73</v>
      </c>
      <c r="F31" t="s">
        <v>9</v>
      </c>
    </row>
    <row r="32" spans="1:6">
      <c r="A32" t="s">
        <v>6</v>
      </c>
      <c r="B32" t="s">
        <v>68</v>
      </c>
      <c r="C32" t="s">
        <v>69</v>
      </c>
      <c r="D32" s="1">
        <v>46132</v>
      </c>
      <c r="E32">
        <v>63379.49</v>
      </c>
      <c r="F32" t="s">
        <v>9</v>
      </c>
    </row>
    <row r="33" spans="1:6">
      <c r="A33" t="s">
        <v>6</v>
      </c>
      <c r="B33" t="s">
        <v>70</v>
      </c>
      <c r="C33" t="s">
        <v>71</v>
      </c>
      <c r="D33" s="1">
        <v>46133</v>
      </c>
      <c r="E33">
        <v>882047.15</v>
      </c>
      <c r="F33" t="s">
        <v>26</v>
      </c>
    </row>
    <row r="34" spans="1:6">
      <c r="A34" t="s">
        <v>6</v>
      </c>
      <c r="B34" t="s">
        <v>72</v>
      </c>
      <c r="C34" t="s">
        <v>73</v>
      </c>
      <c r="D34" s="1">
        <v>46133</v>
      </c>
      <c r="E34">
        <v>88263.65</v>
      </c>
      <c r="F34" t="s">
        <v>26</v>
      </c>
    </row>
    <row r="35" spans="1:6">
      <c r="A35" t="s">
        <v>6</v>
      </c>
      <c r="B35" t="s">
        <v>74</v>
      </c>
      <c r="C35" t="s">
        <v>75</v>
      </c>
      <c r="D35" s="1">
        <v>46133</v>
      </c>
      <c r="E35">
        <v>6496.39</v>
      </c>
      <c r="F35" t="s">
        <v>16</v>
      </c>
    </row>
    <row r="36" spans="1:6">
      <c r="A36" t="s">
        <v>6</v>
      </c>
      <c r="B36" t="s">
        <v>76</v>
      </c>
      <c r="C36" t="s">
        <v>77</v>
      </c>
      <c r="D36" s="1">
        <v>46133</v>
      </c>
      <c r="E36">
        <v>13653.41</v>
      </c>
      <c r="F36" t="s">
        <v>9</v>
      </c>
    </row>
    <row r="37" spans="1:6">
      <c r="A37" t="s">
        <v>6</v>
      </c>
      <c r="B37" t="s">
        <v>78</v>
      </c>
      <c r="C37" t="s">
        <v>79</v>
      </c>
      <c r="D37" s="1">
        <v>46134</v>
      </c>
      <c r="E37">
        <v>25929.07</v>
      </c>
      <c r="F37" t="s">
        <v>9</v>
      </c>
    </row>
    <row r="38" spans="1:6">
      <c r="A38" t="s">
        <v>6</v>
      </c>
      <c r="B38" t="s">
        <v>80</v>
      </c>
      <c r="C38" t="s">
        <v>81</v>
      </c>
      <c r="D38" s="1">
        <v>46134</v>
      </c>
      <c r="E38">
        <v>7707.5</v>
      </c>
      <c r="F38" t="s">
        <v>9</v>
      </c>
    </row>
    <row r="39" spans="1:6">
      <c r="A39" t="s">
        <v>6</v>
      </c>
      <c r="B39" t="s">
        <v>82</v>
      </c>
      <c r="C39" t="s">
        <v>83</v>
      </c>
      <c r="D39" s="1">
        <v>46134</v>
      </c>
      <c r="E39">
        <v>275921.44</v>
      </c>
      <c r="F39" t="s">
        <v>26</v>
      </c>
    </row>
    <row r="40" spans="1:6">
      <c r="A40" t="s">
        <v>6</v>
      </c>
      <c r="B40" t="s">
        <v>84</v>
      </c>
      <c r="C40" t="s">
        <v>85</v>
      </c>
      <c r="D40" s="1">
        <v>46135</v>
      </c>
      <c r="E40">
        <v>682760.91</v>
      </c>
      <c r="F40" t="s">
        <v>26</v>
      </c>
    </row>
    <row r="41" spans="1:6">
      <c r="A41" t="s">
        <v>6</v>
      </c>
      <c r="B41" t="s">
        <v>86</v>
      </c>
      <c r="C41" t="s">
        <v>87</v>
      </c>
      <c r="D41" s="1">
        <v>46135</v>
      </c>
      <c r="E41">
        <v>147113.89000000001</v>
      </c>
      <c r="F41" t="s">
        <v>9</v>
      </c>
    </row>
    <row r="42" spans="1:6">
      <c r="A42" t="s">
        <v>6</v>
      </c>
      <c r="B42" t="s">
        <v>88</v>
      </c>
      <c r="C42" t="s">
        <v>89</v>
      </c>
      <c r="D42" s="1">
        <v>46135</v>
      </c>
      <c r="E42">
        <v>315749.71000000002</v>
      </c>
      <c r="F42" t="s">
        <v>16</v>
      </c>
    </row>
    <row r="43" spans="1:6">
      <c r="A43" t="s">
        <v>6</v>
      </c>
      <c r="B43" t="s">
        <v>90</v>
      </c>
      <c r="C43" t="s">
        <v>79</v>
      </c>
      <c r="D43" s="1">
        <v>46135</v>
      </c>
      <c r="E43">
        <v>12913.37</v>
      </c>
      <c r="F43" t="s">
        <v>9</v>
      </c>
    </row>
    <row r="44" spans="1:6">
      <c r="A44" t="s">
        <v>6</v>
      </c>
      <c r="B44" t="s">
        <v>91</v>
      </c>
      <c r="C44" t="s">
        <v>92</v>
      </c>
      <c r="D44" s="1">
        <v>46136</v>
      </c>
      <c r="E44">
        <v>94625.06</v>
      </c>
      <c r="F44" t="s">
        <v>26</v>
      </c>
    </row>
    <row r="45" spans="1:6">
      <c r="A45" t="s">
        <v>6</v>
      </c>
      <c r="B45" t="s">
        <v>93</v>
      </c>
      <c r="C45" t="s">
        <v>94</v>
      </c>
      <c r="D45" s="1">
        <v>46136</v>
      </c>
      <c r="E45">
        <v>58604.58</v>
      </c>
      <c r="F45" t="s">
        <v>9</v>
      </c>
    </row>
    <row r="46" spans="1:6">
      <c r="A46" t="s">
        <v>6</v>
      </c>
      <c r="B46" t="s">
        <v>95</v>
      </c>
      <c r="C46" t="s">
        <v>96</v>
      </c>
      <c r="D46" s="1">
        <v>46136</v>
      </c>
      <c r="E46">
        <v>53401.48</v>
      </c>
      <c r="F46" t="s">
        <v>9</v>
      </c>
    </row>
    <row r="47" spans="1:6">
      <c r="A47" t="s">
        <v>6</v>
      </c>
      <c r="B47" t="s">
        <v>97</v>
      </c>
      <c r="C47" t="s">
        <v>98</v>
      </c>
      <c r="D47" s="1">
        <v>46136</v>
      </c>
      <c r="E47">
        <v>155480.20000000001</v>
      </c>
      <c r="F47" t="s">
        <v>9</v>
      </c>
    </row>
    <row r="48" spans="1:6">
      <c r="A48" t="s">
        <v>6</v>
      </c>
      <c r="B48" t="s">
        <v>99</v>
      </c>
      <c r="C48" t="s">
        <v>100</v>
      </c>
      <c r="D48" s="1">
        <v>46137</v>
      </c>
      <c r="E48">
        <v>764311.32</v>
      </c>
      <c r="F48" t="s">
        <v>26</v>
      </c>
    </row>
    <row r="49" spans="1:6">
      <c r="A49" t="s">
        <v>6</v>
      </c>
      <c r="B49" t="s">
        <v>101</v>
      </c>
      <c r="C49" t="s">
        <v>102</v>
      </c>
      <c r="D49" s="1">
        <v>46137</v>
      </c>
      <c r="E49">
        <v>252234.52</v>
      </c>
      <c r="F49" t="s">
        <v>9</v>
      </c>
    </row>
    <row r="50" spans="1:6">
      <c r="A50" t="s">
        <v>6</v>
      </c>
      <c r="B50" t="s">
        <v>103</v>
      </c>
      <c r="C50" t="s">
        <v>104</v>
      </c>
      <c r="D50" s="1">
        <v>46137</v>
      </c>
      <c r="E50">
        <v>34526.269999999997</v>
      </c>
      <c r="F50" t="s">
        <v>16</v>
      </c>
    </row>
    <row r="51" spans="1:6">
      <c r="A51" t="s">
        <v>6</v>
      </c>
      <c r="B51" t="s">
        <v>105</v>
      </c>
      <c r="C51" t="s">
        <v>104</v>
      </c>
      <c r="D51" s="1">
        <v>46137</v>
      </c>
      <c r="E51">
        <v>54789.45</v>
      </c>
      <c r="F51" t="s">
        <v>9</v>
      </c>
    </row>
    <row r="52" spans="1:6">
      <c r="A52" t="s">
        <v>6</v>
      </c>
      <c r="B52" t="s">
        <v>106</v>
      </c>
      <c r="C52" t="s">
        <v>107</v>
      </c>
      <c r="D52" s="1">
        <v>46137</v>
      </c>
      <c r="E52">
        <v>112204.87</v>
      </c>
      <c r="F52" t="s">
        <v>26</v>
      </c>
    </row>
    <row r="53" spans="1:6">
      <c r="A53" t="s">
        <v>6</v>
      </c>
      <c r="B53" t="s">
        <v>108</v>
      </c>
      <c r="C53" t="s">
        <v>109</v>
      </c>
      <c r="D53" s="1">
        <v>46137</v>
      </c>
      <c r="E53">
        <v>1311016.5</v>
      </c>
      <c r="F53" t="s">
        <v>16</v>
      </c>
    </row>
    <row r="54" spans="1:6">
      <c r="A54" t="s">
        <v>6</v>
      </c>
      <c r="B54" t="s">
        <v>110</v>
      </c>
      <c r="C54" t="s">
        <v>111</v>
      </c>
      <c r="D54" s="1">
        <v>46137</v>
      </c>
      <c r="E54">
        <v>8499.2000000000007</v>
      </c>
      <c r="F54" t="s">
        <v>9</v>
      </c>
    </row>
    <row r="55" spans="1:6">
      <c r="A55" t="s">
        <v>6</v>
      </c>
      <c r="B55" t="s">
        <v>112</v>
      </c>
      <c r="C55" t="s">
        <v>113</v>
      </c>
      <c r="D55" s="1">
        <v>46138</v>
      </c>
      <c r="E55">
        <v>271037.68</v>
      </c>
      <c r="F55" t="s">
        <v>9</v>
      </c>
    </row>
    <row r="56" spans="1:6">
      <c r="A56" t="s">
        <v>6</v>
      </c>
      <c r="B56" t="s">
        <v>114</v>
      </c>
      <c r="C56" t="s">
        <v>115</v>
      </c>
      <c r="D56" s="1">
        <v>46138</v>
      </c>
      <c r="E56">
        <v>75244.5</v>
      </c>
      <c r="F56" t="s">
        <v>16</v>
      </c>
    </row>
    <row r="57" spans="1:6">
      <c r="A57" t="s">
        <v>6</v>
      </c>
      <c r="B57" t="s">
        <v>116</v>
      </c>
      <c r="C57" t="s">
        <v>117</v>
      </c>
      <c r="D57" s="1">
        <v>46138</v>
      </c>
      <c r="E57">
        <v>132211.53</v>
      </c>
      <c r="F57" t="s">
        <v>9</v>
      </c>
    </row>
    <row r="58" spans="1:6">
      <c r="A58" t="s">
        <v>6</v>
      </c>
      <c r="B58" t="s">
        <v>118</v>
      </c>
      <c r="C58" t="s">
        <v>119</v>
      </c>
      <c r="D58" s="1">
        <v>46138</v>
      </c>
      <c r="E58">
        <v>4920.72</v>
      </c>
      <c r="F58" t="s">
        <v>9</v>
      </c>
    </row>
    <row r="59" spans="1:6">
      <c r="A59" t="s">
        <v>6</v>
      </c>
      <c r="B59" t="s">
        <v>120</v>
      </c>
      <c r="C59" t="s">
        <v>121</v>
      </c>
      <c r="D59" s="1">
        <v>46138</v>
      </c>
      <c r="E59">
        <v>15341.15</v>
      </c>
      <c r="F59" t="s">
        <v>26</v>
      </c>
    </row>
    <row r="60" spans="1:6">
      <c r="A60" t="s">
        <v>6</v>
      </c>
      <c r="B60" t="s">
        <v>122</v>
      </c>
      <c r="C60" t="s">
        <v>123</v>
      </c>
      <c r="D60" s="1">
        <v>46139</v>
      </c>
      <c r="E60">
        <v>85590.61</v>
      </c>
      <c r="F60" t="s">
        <v>9</v>
      </c>
    </row>
    <row r="61" spans="1:6">
      <c r="A61" t="s">
        <v>6</v>
      </c>
      <c r="B61" t="s">
        <v>124</v>
      </c>
      <c r="C61" t="s">
        <v>125</v>
      </c>
      <c r="D61" s="1">
        <v>46139</v>
      </c>
      <c r="E61">
        <v>47554.23</v>
      </c>
      <c r="F61" t="s">
        <v>26</v>
      </c>
    </row>
    <row r="62" spans="1:6">
      <c r="A62" t="s">
        <v>6</v>
      </c>
      <c r="B62" t="s">
        <v>126</v>
      </c>
      <c r="C62" t="s">
        <v>127</v>
      </c>
      <c r="D62" s="1">
        <v>46139</v>
      </c>
      <c r="E62">
        <v>102613.64</v>
      </c>
      <c r="F62" t="s">
        <v>9</v>
      </c>
    </row>
    <row r="63" spans="1:6">
      <c r="A63" t="s">
        <v>6</v>
      </c>
      <c r="B63" t="s">
        <v>128</v>
      </c>
      <c r="C63" t="s">
        <v>129</v>
      </c>
      <c r="D63" s="1">
        <v>46139</v>
      </c>
      <c r="E63">
        <v>552532.4</v>
      </c>
      <c r="F63" t="s">
        <v>9</v>
      </c>
    </row>
    <row r="64" spans="1:6">
      <c r="A64" t="s">
        <v>6</v>
      </c>
      <c r="B64" t="s">
        <v>130</v>
      </c>
      <c r="C64" t="s">
        <v>131</v>
      </c>
      <c r="D64" s="1">
        <v>46139</v>
      </c>
      <c r="E64">
        <v>113887.38</v>
      </c>
      <c r="F64" t="s">
        <v>9</v>
      </c>
    </row>
    <row r="65" spans="1:6">
      <c r="A65" t="s">
        <v>6</v>
      </c>
      <c r="B65" t="s">
        <v>132</v>
      </c>
      <c r="C65" t="s">
        <v>133</v>
      </c>
      <c r="D65" s="1">
        <v>46140</v>
      </c>
      <c r="E65">
        <v>290474.34999999998</v>
      </c>
      <c r="F65" t="s">
        <v>9</v>
      </c>
    </row>
    <row r="66" spans="1:6">
      <c r="A66" t="s">
        <v>6</v>
      </c>
      <c r="B66" t="s">
        <v>134</v>
      </c>
      <c r="C66" t="s">
        <v>135</v>
      </c>
      <c r="D66" s="1">
        <v>46140</v>
      </c>
      <c r="E66">
        <v>520432.09</v>
      </c>
      <c r="F66" t="s">
        <v>9</v>
      </c>
    </row>
    <row r="67" spans="1:6">
      <c r="A67" t="s">
        <v>6</v>
      </c>
      <c r="B67" t="s">
        <v>136</v>
      </c>
      <c r="C67" t="s">
        <v>137</v>
      </c>
      <c r="D67" s="1">
        <v>46140</v>
      </c>
      <c r="E67">
        <v>544610.97</v>
      </c>
      <c r="F67" t="s">
        <v>9</v>
      </c>
    </row>
    <row r="68" spans="1:6">
      <c r="A68" t="s">
        <v>6</v>
      </c>
      <c r="B68" t="s">
        <v>138</v>
      </c>
      <c r="C68" t="s">
        <v>139</v>
      </c>
      <c r="D68" s="1">
        <v>46140</v>
      </c>
      <c r="E68">
        <v>67859.210000000006</v>
      </c>
      <c r="F68" t="s">
        <v>16</v>
      </c>
    </row>
    <row r="69" spans="1:6">
      <c r="A69" t="s">
        <v>6</v>
      </c>
      <c r="B69" t="s">
        <v>140</v>
      </c>
      <c r="C69" t="s">
        <v>141</v>
      </c>
      <c r="D69" s="1">
        <v>46141</v>
      </c>
      <c r="E69">
        <v>320111.78000000003</v>
      </c>
      <c r="F69" t="s">
        <v>9</v>
      </c>
    </row>
    <row r="70" spans="1:6">
      <c r="A70" t="s">
        <v>6</v>
      </c>
      <c r="B70" t="s">
        <v>142</v>
      </c>
      <c r="C70" t="s">
        <v>143</v>
      </c>
      <c r="D70" s="1">
        <v>46141</v>
      </c>
      <c r="E70">
        <v>31535.08</v>
      </c>
      <c r="F70" t="s">
        <v>16</v>
      </c>
    </row>
    <row r="71" spans="1:6">
      <c r="A71" t="s">
        <v>6</v>
      </c>
      <c r="B71" t="s">
        <v>144</v>
      </c>
      <c r="C71" t="s">
        <v>145</v>
      </c>
      <c r="D71" s="1">
        <v>46141</v>
      </c>
      <c r="E71">
        <v>288333.78000000003</v>
      </c>
      <c r="F71" t="s">
        <v>9</v>
      </c>
    </row>
    <row r="72" spans="1:6">
      <c r="A72" t="s">
        <v>6</v>
      </c>
      <c r="B72" t="s">
        <v>146</v>
      </c>
      <c r="C72" t="s">
        <v>147</v>
      </c>
      <c r="D72" s="1">
        <v>46142</v>
      </c>
      <c r="E72">
        <v>85509.119999999995</v>
      </c>
      <c r="F72" t="s">
        <v>16</v>
      </c>
    </row>
    <row r="73" spans="1:6">
      <c r="A73" t="s">
        <v>6</v>
      </c>
      <c r="B73" t="s">
        <v>148</v>
      </c>
      <c r="C73" t="s">
        <v>89</v>
      </c>
      <c r="D73" s="1">
        <v>46142</v>
      </c>
      <c r="E73">
        <v>197322.57</v>
      </c>
      <c r="F73" t="s">
        <v>16</v>
      </c>
    </row>
    <row r="74" spans="1:6">
      <c r="A74" t="s">
        <v>6</v>
      </c>
      <c r="B74" t="s">
        <v>149</v>
      </c>
      <c r="C74" t="s">
        <v>55</v>
      </c>
      <c r="D74" s="1">
        <v>46142</v>
      </c>
      <c r="E74">
        <v>89843.32</v>
      </c>
      <c r="F74" t="s">
        <v>16</v>
      </c>
    </row>
    <row r="75" spans="1:6">
      <c r="A75" t="s">
        <v>6</v>
      </c>
      <c r="B75" t="s">
        <v>150</v>
      </c>
      <c r="C75" t="s">
        <v>125</v>
      </c>
      <c r="D75" s="1">
        <v>46142</v>
      </c>
      <c r="E75">
        <v>109105</v>
      </c>
      <c r="F75" t="s">
        <v>9</v>
      </c>
    </row>
    <row r="76" spans="1:6">
      <c r="A76" t="s">
        <v>6</v>
      </c>
      <c r="B76" t="s">
        <v>151</v>
      </c>
      <c r="C76" t="s">
        <v>152</v>
      </c>
      <c r="D76" s="1">
        <v>46142</v>
      </c>
      <c r="E76">
        <v>217655.91</v>
      </c>
      <c r="F76" t="s">
        <v>9</v>
      </c>
    </row>
    <row r="77" spans="1:6">
      <c r="A77" t="s">
        <v>6</v>
      </c>
      <c r="B77" t="s">
        <v>153</v>
      </c>
      <c r="C77" t="s">
        <v>154</v>
      </c>
      <c r="D77" s="1">
        <v>46142</v>
      </c>
      <c r="E77">
        <v>156894.60999999999</v>
      </c>
      <c r="F77" t="s">
        <v>16</v>
      </c>
    </row>
    <row r="78" spans="1:6">
      <c r="A78" t="s">
        <v>6</v>
      </c>
      <c r="B78" t="s">
        <v>155</v>
      </c>
      <c r="C78" t="s">
        <v>156</v>
      </c>
      <c r="D78" s="1">
        <v>46142</v>
      </c>
      <c r="E78">
        <v>55990.21</v>
      </c>
      <c r="F78" t="s">
        <v>9</v>
      </c>
    </row>
    <row r="79" spans="1:6">
      <c r="A79" t="s">
        <v>6</v>
      </c>
      <c r="B79" t="s">
        <v>157</v>
      </c>
      <c r="C79" t="s">
        <v>158</v>
      </c>
      <c r="D79" s="1">
        <v>46142</v>
      </c>
      <c r="E79">
        <v>89933.24</v>
      </c>
      <c r="F79" t="s">
        <v>9</v>
      </c>
    </row>
    <row r="80" spans="1:6">
      <c r="A80" t="s">
        <v>159</v>
      </c>
      <c r="B80" t="s">
        <v>160</v>
      </c>
      <c r="C80" t="s">
        <v>161</v>
      </c>
      <c r="D80" s="1">
        <v>46143</v>
      </c>
      <c r="E80">
        <v>185131.06</v>
      </c>
      <c r="F80" t="s">
        <v>9</v>
      </c>
    </row>
    <row r="81" spans="1:6">
      <c r="A81" t="s">
        <v>159</v>
      </c>
      <c r="B81" t="s">
        <v>162</v>
      </c>
      <c r="C81" t="s">
        <v>163</v>
      </c>
      <c r="D81" s="1">
        <v>46143</v>
      </c>
      <c r="E81">
        <v>292953.32</v>
      </c>
      <c r="F81" t="s">
        <v>9</v>
      </c>
    </row>
    <row r="82" spans="1:6">
      <c r="A82" t="s">
        <v>159</v>
      </c>
      <c r="B82" t="s">
        <v>164</v>
      </c>
      <c r="C82" t="s">
        <v>165</v>
      </c>
      <c r="D82" s="1">
        <v>46143</v>
      </c>
      <c r="E82">
        <v>62845.29</v>
      </c>
      <c r="F82" t="s">
        <v>16</v>
      </c>
    </row>
    <row r="83" spans="1:6">
      <c r="A83" t="s">
        <v>159</v>
      </c>
      <c r="B83" t="s">
        <v>166</v>
      </c>
      <c r="C83" t="s">
        <v>167</v>
      </c>
      <c r="D83" s="1">
        <v>46143</v>
      </c>
      <c r="E83">
        <v>75825.460000000006</v>
      </c>
      <c r="F83" t="s">
        <v>9</v>
      </c>
    </row>
    <row r="84" spans="1:6">
      <c r="A84" t="s">
        <v>159</v>
      </c>
      <c r="B84" t="s">
        <v>168</v>
      </c>
      <c r="C84" t="s">
        <v>169</v>
      </c>
      <c r="D84" s="1">
        <v>46143</v>
      </c>
      <c r="E84">
        <v>20237.419999999998</v>
      </c>
      <c r="F84" t="s">
        <v>9</v>
      </c>
    </row>
    <row r="85" spans="1:6">
      <c r="A85" t="s">
        <v>159</v>
      </c>
      <c r="B85" t="s">
        <v>170</v>
      </c>
      <c r="C85" t="s">
        <v>171</v>
      </c>
      <c r="D85" s="1">
        <v>46144</v>
      </c>
      <c r="E85">
        <v>1178993.8899999999</v>
      </c>
      <c r="F85" t="s">
        <v>16</v>
      </c>
    </row>
    <row r="86" spans="1:6">
      <c r="A86" t="s">
        <v>159</v>
      </c>
      <c r="B86" t="s">
        <v>172</v>
      </c>
      <c r="C86" t="s">
        <v>173</v>
      </c>
      <c r="D86" s="1">
        <v>46145</v>
      </c>
      <c r="E86">
        <v>343538.24</v>
      </c>
      <c r="F86" t="s">
        <v>16</v>
      </c>
    </row>
    <row r="87" spans="1:6">
      <c r="A87" t="s">
        <v>159</v>
      </c>
      <c r="B87" t="s">
        <v>174</v>
      </c>
      <c r="C87" t="s">
        <v>175</v>
      </c>
      <c r="D87" s="1">
        <v>46145</v>
      </c>
      <c r="E87">
        <v>173054.81</v>
      </c>
      <c r="F87" t="s">
        <v>9</v>
      </c>
    </row>
    <row r="88" spans="1:6">
      <c r="A88" t="s">
        <v>159</v>
      </c>
      <c r="B88" t="s">
        <v>176</v>
      </c>
      <c r="C88" t="s">
        <v>177</v>
      </c>
      <c r="D88" s="1">
        <v>46145</v>
      </c>
      <c r="E88">
        <v>23608.31</v>
      </c>
      <c r="F88" t="s">
        <v>26</v>
      </c>
    </row>
    <row r="89" spans="1:6">
      <c r="A89" t="s">
        <v>159</v>
      </c>
      <c r="B89" t="s">
        <v>178</v>
      </c>
      <c r="C89" t="s">
        <v>179</v>
      </c>
      <c r="D89" s="1">
        <v>46145</v>
      </c>
      <c r="E89">
        <v>13852.54</v>
      </c>
      <c r="F89" t="s">
        <v>9</v>
      </c>
    </row>
    <row r="90" spans="1:6">
      <c r="A90" t="s">
        <v>159</v>
      </c>
      <c r="B90" t="s">
        <v>180</v>
      </c>
      <c r="C90" t="s">
        <v>181</v>
      </c>
      <c r="D90" s="1">
        <v>46145</v>
      </c>
      <c r="E90">
        <v>5712.31</v>
      </c>
      <c r="F90" t="s">
        <v>9</v>
      </c>
    </row>
    <row r="91" spans="1:6">
      <c r="A91" t="s">
        <v>159</v>
      </c>
      <c r="B91" t="s">
        <v>182</v>
      </c>
      <c r="C91" t="s">
        <v>183</v>
      </c>
      <c r="D91" s="1">
        <v>46145</v>
      </c>
      <c r="E91">
        <v>9983</v>
      </c>
      <c r="F91" t="s">
        <v>9</v>
      </c>
    </row>
    <row r="92" spans="1:6">
      <c r="A92" t="s">
        <v>159</v>
      </c>
      <c r="B92" t="s">
        <v>184</v>
      </c>
      <c r="C92" t="s">
        <v>185</v>
      </c>
      <c r="D92" s="1">
        <v>46146</v>
      </c>
      <c r="E92">
        <v>192481.42</v>
      </c>
      <c r="F92" t="s">
        <v>9</v>
      </c>
    </row>
    <row r="93" spans="1:6">
      <c r="A93" t="s">
        <v>159</v>
      </c>
      <c r="B93" t="s">
        <v>186</v>
      </c>
      <c r="C93" t="s">
        <v>187</v>
      </c>
      <c r="D93" s="1">
        <v>46146</v>
      </c>
      <c r="E93">
        <v>39270.25</v>
      </c>
      <c r="F93" t="s">
        <v>9</v>
      </c>
    </row>
    <row r="94" spans="1:6">
      <c r="A94" t="s">
        <v>159</v>
      </c>
      <c r="B94" t="s">
        <v>188</v>
      </c>
      <c r="C94" t="s">
        <v>189</v>
      </c>
      <c r="D94" s="1">
        <v>46146</v>
      </c>
      <c r="E94">
        <v>43318.080000000002</v>
      </c>
      <c r="F94" t="s">
        <v>9</v>
      </c>
    </row>
    <row r="95" spans="1:6">
      <c r="A95" t="s">
        <v>159</v>
      </c>
      <c r="B95" t="s">
        <v>190</v>
      </c>
      <c r="C95" t="s">
        <v>191</v>
      </c>
      <c r="D95" s="1">
        <v>46146</v>
      </c>
      <c r="E95">
        <v>27146.55</v>
      </c>
      <c r="F95" t="s">
        <v>26</v>
      </c>
    </row>
    <row r="96" spans="1:6">
      <c r="A96" t="s">
        <v>159</v>
      </c>
      <c r="B96" t="s">
        <v>192</v>
      </c>
      <c r="C96" t="s">
        <v>193</v>
      </c>
      <c r="D96" s="1">
        <v>46146</v>
      </c>
      <c r="E96">
        <v>2000000</v>
      </c>
      <c r="F96" t="s">
        <v>9</v>
      </c>
    </row>
    <row r="97" spans="1:6">
      <c r="A97" t="s">
        <v>159</v>
      </c>
      <c r="B97" t="s">
        <v>194</v>
      </c>
      <c r="C97" t="s">
        <v>195</v>
      </c>
      <c r="D97" s="1">
        <v>46146</v>
      </c>
      <c r="E97">
        <v>731477.86</v>
      </c>
      <c r="F97" t="s">
        <v>16</v>
      </c>
    </row>
    <row r="98" spans="1:6">
      <c r="A98" t="s">
        <v>159</v>
      </c>
      <c r="B98" t="s">
        <v>196</v>
      </c>
      <c r="C98" t="s">
        <v>197</v>
      </c>
      <c r="D98" s="1">
        <v>46146</v>
      </c>
      <c r="E98">
        <v>50730.98</v>
      </c>
      <c r="F98" t="s">
        <v>26</v>
      </c>
    </row>
    <row r="99" spans="1:6">
      <c r="A99" t="s">
        <v>159</v>
      </c>
      <c r="B99" t="s">
        <v>198</v>
      </c>
      <c r="C99" t="s">
        <v>191</v>
      </c>
      <c r="D99" s="1">
        <v>46147</v>
      </c>
      <c r="E99">
        <v>28346.13</v>
      </c>
      <c r="F99" t="s">
        <v>9</v>
      </c>
    </row>
    <row r="100" spans="1:6">
      <c r="A100" t="s">
        <v>159</v>
      </c>
      <c r="B100" t="s">
        <v>199</v>
      </c>
      <c r="C100" t="s">
        <v>200</v>
      </c>
      <c r="D100" s="1">
        <v>46147</v>
      </c>
      <c r="E100">
        <v>67964.539999999994</v>
      </c>
      <c r="F100" t="s">
        <v>9</v>
      </c>
    </row>
    <row r="101" spans="1:6">
      <c r="A101" t="s">
        <v>159</v>
      </c>
      <c r="B101" t="s">
        <v>201</v>
      </c>
      <c r="C101" t="s">
        <v>202</v>
      </c>
      <c r="D101" s="1">
        <v>46147</v>
      </c>
      <c r="E101">
        <v>143793.24</v>
      </c>
      <c r="F101" t="s">
        <v>16</v>
      </c>
    </row>
    <row r="102" spans="1:6">
      <c r="A102" t="s">
        <v>159</v>
      </c>
      <c r="B102" t="s">
        <v>203</v>
      </c>
      <c r="C102" t="s">
        <v>204</v>
      </c>
      <c r="D102" s="1">
        <v>46147</v>
      </c>
      <c r="E102">
        <v>18243.12</v>
      </c>
      <c r="F102" t="s">
        <v>16</v>
      </c>
    </row>
    <row r="103" spans="1:6">
      <c r="A103" t="s">
        <v>159</v>
      </c>
      <c r="B103" t="s">
        <v>205</v>
      </c>
      <c r="C103" t="s">
        <v>206</v>
      </c>
      <c r="D103" s="1">
        <v>46148</v>
      </c>
      <c r="E103">
        <v>61892.36</v>
      </c>
      <c r="F103" t="s">
        <v>26</v>
      </c>
    </row>
    <row r="104" spans="1:6">
      <c r="A104" t="s">
        <v>159</v>
      </c>
      <c r="B104" t="s">
        <v>207</v>
      </c>
      <c r="C104" t="s">
        <v>208</v>
      </c>
      <c r="D104" s="1">
        <v>46148</v>
      </c>
      <c r="E104">
        <v>324887.95</v>
      </c>
      <c r="F104" t="s">
        <v>9</v>
      </c>
    </row>
    <row r="105" spans="1:6">
      <c r="A105" t="s">
        <v>159</v>
      </c>
      <c r="B105" t="s">
        <v>209</v>
      </c>
      <c r="C105" t="s">
        <v>111</v>
      </c>
      <c r="D105" s="1">
        <v>46148</v>
      </c>
      <c r="E105">
        <v>6949.86</v>
      </c>
      <c r="F105" t="s">
        <v>9</v>
      </c>
    </row>
    <row r="106" spans="1:6">
      <c r="A106" t="s">
        <v>159</v>
      </c>
      <c r="B106" t="s">
        <v>210</v>
      </c>
      <c r="C106" t="s">
        <v>121</v>
      </c>
      <c r="D106" s="1">
        <v>46148</v>
      </c>
      <c r="E106">
        <v>16948.28</v>
      </c>
      <c r="F106" t="s">
        <v>9</v>
      </c>
    </row>
    <row r="107" spans="1:6">
      <c r="A107" t="s">
        <v>159</v>
      </c>
      <c r="B107" t="s">
        <v>211</v>
      </c>
      <c r="C107" t="s">
        <v>212</v>
      </c>
      <c r="D107" s="1">
        <v>46148</v>
      </c>
      <c r="E107">
        <v>40307.75</v>
      </c>
      <c r="F107" t="s">
        <v>9</v>
      </c>
    </row>
    <row r="108" spans="1:6">
      <c r="A108" t="s">
        <v>159</v>
      </c>
      <c r="B108" t="s">
        <v>213</v>
      </c>
      <c r="C108" t="s">
        <v>214</v>
      </c>
      <c r="D108" s="1">
        <v>46149</v>
      </c>
      <c r="E108">
        <v>8712.2999999999993</v>
      </c>
      <c r="F108" t="s">
        <v>26</v>
      </c>
    </row>
    <row r="109" spans="1:6">
      <c r="A109" t="s">
        <v>159</v>
      </c>
      <c r="B109" t="s">
        <v>215</v>
      </c>
      <c r="C109" t="s">
        <v>216</v>
      </c>
      <c r="D109" s="1">
        <v>46149</v>
      </c>
      <c r="E109">
        <v>21000.97</v>
      </c>
      <c r="F109" t="s">
        <v>26</v>
      </c>
    </row>
    <row r="110" spans="1:6">
      <c r="A110" t="s">
        <v>159</v>
      </c>
      <c r="B110" t="s">
        <v>217</v>
      </c>
      <c r="C110" t="s">
        <v>218</v>
      </c>
      <c r="D110" s="1">
        <v>46149</v>
      </c>
      <c r="E110">
        <v>128674.48</v>
      </c>
      <c r="F110" t="s">
        <v>9</v>
      </c>
    </row>
    <row r="111" spans="1:6">
      <c r="A111" t="s">
        <v>159</v>
      </c>
      <c r="B111" t="s">
        <v>219</v>
      </c>
      <c r="C111" t="s">
        <v>220</v>
      </c>
      <c r="D111" s="1">
        <v>46149</v>
      </c>
      <c r="E111">
        <v>83060.350000000006</v>
      </c>
      <c r="F111" t="s">
        <v>9</v>
      </c>
    </row>
    <row r="112" spans="1:6">
      <c r="A112" t="s">
        <v>159</v>
      </c>
      <c r="B112" t="s">
        <v>221</v>
      </c>
      <c r="C112" t="s">
        <v>222</v>
      </c>
      <c r="D112" s="1">
        <v>46149</v>
      </c>
      <c r="E112">
        <v>1904412.04</v>
      </c>
      <c r="F112" t="s">
        <v>9</v>
      </c>
    </row>
    <row r="113" spans="1:6">
      <c r="A113" t="s">
        <v>159</v>
      </c>
      <c r="B113" t="s">
        <v>223</v>
      </c>
      <c r="C113" t="s">
        <v>224</v>
      </c>
      <c r="D113" s="1">
        <v>46149</v>
      </c>
      <c r="E113">
        <v>40835.620000000003</v>
      </c>
      <c r="F113" t="s">
        <v>16</v>
      </c>
    </row>
    <row r="114" spans="1:6">
      <c r="A114" t="s">
        <v>159</v>
      </c>
      <c r="B114" t="s">
        <v>225</v>
      </c>
      <c r="C114" t="s">
        <v>226</v>
      </c>
      <c r="D114" s="1">
        <v>46150</v>
      </c>
      <c r="E114">
        <v>1817460.64</v>
      </c>
      <c r="F114" t="s">
        <v>9</v>
      </c>
    </row>
    <row r="115" spans="1:6">
      <c r="A115" t="s">
        <v>159</v>
      </c>
      <c r="B115" t="s">
        <v>227</v>
      </c>
      <c r="C115" t="s">
        <v>228</v>
      </c>
      <c r="D115" s="1">
        <v>46150</v>
      </c>
      <c r="E115">
        <v>116804.72</v>
      </c>
      <c r="F115" t="s">
        <v>9</v>
      </c>
    </row>
    <row r="116" spans="1:6">
      <c r="A116" t="s">
        <v>159</v>
      </c>
      <c r="B116" t="s">
        <v>229</v>
      </c>
      <c r="C116" t="s">
        <v>230</v>
      </c>
      <c r="D116" s="1">
        <v>46150</v>
      </c>
      <c r="E116">
        <v>547398.78</v>
      </c>
      <c r="F116" t="s">
        <v>16</v>
      </c>
    </row>
    <row r="117" spans="1:6">
      <c r="A117" t="s">
        <v>159</v>
      </c>
      <c r="B117" t="s">
        <v>231</v>
      </c>
      <c r="C117" t="s">
        <v>232</v>
      </c>
      <c r="D117" s="1">
        <v>46150</v>
      </c>
      <c r="E117">
        <v>37120.480000000003</v>
      </c>
      <c r="F117" t="s">
        <v>9</v>
      </c>
    </row>
    <row r="118" spans="1:6">
      <c r="A118" t="s">
        <v>159</v>
      </c>
      <c r="B118" t="s">
        <v>233</v>
      </c>
      <c r="C118" t="s">
        <v>234</v>
      </c>
      <c r="D118" s="1">
        <v>46150</v>
      </c>
      <c r="E118">
        <v>117527.87</v>
      </c>
      <c r="F118" t="s">
        <v>9</v>
      </c>
    </row>
    <row r="119" spans="1:6">
      <c r="A119" t="s">
        <v>159</v>
      </c>
      <c r="B119" t="s">
        <v>235</v>
      </c>
      <c r="C119" t="s">
        <v>236</v>
      </c>
      <c r="D119" s="1">
        <v>46150</v>
      </c>
      <c r="E119">
        <v>51716.74</v>
      </c>
      <c r="F119" t="s">
        <v>9</v>
      </c>
    </row>
    <row r="120" spans="1:6">
      <c r="A120" t="s">
        <v>159</v>
      </c>
      <c r="B120" t="s">
        <v>237</v>
      </c>
      <c r="C120" t="s">
        <v>238</v>
      </c>
      <c r="D120" s="1">
        <v>46150</v>
      </c>
      <c r="E120">
        <v>18592.61</v>
      </c>
      <c r="F120" t="s">
        <v>26</v>
      </c>
    </row>
    <row r="121" spans="1:6">
      <c r="A121" t="s">
        <v>159</v>
      </c>
      <c r="B121" t="s">
        <v>239</v>
      </c>
      <c r="C121" t="s">
        <v>240</v>
      </c>
      <c r="D121" s="1">
        <v>46151</v>
      </c>
      <c r="E121">
        <v>509948.8</v>
      </c>
      <c r="F121" t="s">
        <v>9</v>
      </c>
    </row>
    <row r="122" spans="1:6">
      <c r="A122" t="s">
        <v>159</v>
      </c>
      <c r="B122" t="s">
        <v>241</v>
      </c>
      <c r="C122" t="s">
        <v>242</v>
      </c>
      <c r="D122" s="1">
        <v>46151</v>
      </c>
      <c r="E122">
        <v>1198871.19</v>
      </c>
      <c r="F122" t="s">
        <v>26</v>
      </c>
    </row>
    <row r="123" spans="1:6">
      <c r="A123" t="s">
        <v>159</v>
      </c>
      <c r="B123" t="s">
        <v>243</v>
      </c>
      <c r="C123" t="s">
        <v>244</v>
      </c>
      <c r="D123" s="1">
        <v>46151</v>
      </c>
      <c r="E123">
        <v>68103.94</v>
      </c>
      <c r="F123" t="s">
        <v>9</v>
      </c>
    </row>
    <row r="124" spans="1:6">
      <c r="A124" t="s">
        <v>159</v>
      </c>
      <c r="B124" t="s">
        <v>245</v>
      </c>
      <c r="C124" t="s">
        <v>246</v>
      </c>
      <c r="D124" s="1">
        <v>46151</v>
      </c>
      <c r="E124">
        <v>108153.53</v>
      </c>
      <c r="F124" t="s">
        <v>26</v>
      </c>
    </row>
    <row r="125" spans="1:6">
      <c r="A125" t="s">
        <v>159</v>
      </c>
      <c r="B125" t="s">
        <v>247</v>
      </c>
      <c r="C125" t="s">
        <v>83</v>
      </c>
      <c r="D125" s="1">
        <v>46151</v>
      </c>
      <c r="E125">
        <v>133690.63</v>
      </c>
      <c r="F125" t="s">
        <v>16</v>
      </c>
    </row>
    <row r="126" spans="1:6">
      <c r="A126" t="s">
        <v>159</v>
      </c>
      <c r="B126" t="s">
        <v>248</v>
      </c>
      <c r="C126" t="s">
        <v>119</v>
      </c>
      <c r="D126" s="1">
        <v>46151</v>
      </c>
      <c r="E126">
        <v>8807.42</v>
      </c>
      <c r="F126" t="s">
        <v>9</v>
      </c>
    </row>
    <row r="127" spans="1:6">
      <c r="A127" t="s">
        <v>159</v>
      </c>
      <c r="B127" t="s">
        <v>249</v>
      </c>
      <c r="C127" t="s">
        <v>250</v>
      </c>
      <c r="D127" s="1">
        <v>46151</v>
      </c>
      <c r="E127">
        <v>6453.42</v>
      </c>
      <c r="F127" t="s">
        <v>16</v>
      </c>
    </row>
    <row r="128" spans="1:6">
      <c r="A128" t="s">
        <v>159</v>
      </c>
      <c r="B128" t="s">
        <v>251</v>
      </c>
      <c r="C128" t="s">
        <v>252</v>
      </c>
      <c r="D128" s="1">
        <v>46151</v>
      </c>
      <c r="E128">
        <v>7721.49</v>
      </c>
      <c r="F128" t="s">
        <v>26</v>
      </c>
    </row>
    <row r="129" spans="1:6">
      <c r="A129" t="s">
        <v>159</v>
      </c>
      <c r="B129" t="s">
        <v>253</v>
      </c>
      <c r="C129" t="s">
        <v>254</v>
      </c>
      <c r="D129" s="1">
        <v>46151</v>
      </c>
      <c r="E129">
        <v>1337930.3</v>
      </c>
      <c r="F129" t="s">
        <v>9</v>
      </c>
    </row>
    <row r="130" spans="1:6">
      <c r="A130" t="s">
        <v>159</v>
      </c>
      <c r="B130" t="s">
        <v>255</v>
      </c>
      <c r="C130" t="s">
        <v>256</v>
      </c>
      <c r="D130" s="1">
        <v>46151</v>
      </c>
      <c r="E130">
        <v>433446.95</v>
      </c>
      <c r="F130" t="s">
        <v>26</v>
      </c>
    </row>
    <row r="131" spans="1:6">
      <c r="A131" t="s">
        <v>159</v>
      </c>
      <c r="B131" t="s">
        <v>257</v>
      </c>
      <c r="C131" t="s">
        <v>258</v>
      </c>
      <c r="D131" s="1">
        <v>46151</v>
      </c>
      <c r="E131">
        <v>36047.69</v>
      </c>
      <c r="F131" t="s">
        <v>9</v>
      </c>
    </row>
    <row r="132" spans="1:6">
      <c r="A132" t="s">
        <v>159</v>
      </c>
      <c r="B132" t="s">
        <v>259</v>
      </c>
      <c r="C132" t="s">
        <v>260</v>
      </c>
      <c r="D132" s="1">
        <v>46151</v>
      </c>
      <c r="E132">
        <v>47286.03</v>
      </c>
      <c r="F132" t="s">
        <v>9</v>
      </c>
    </row>
    <row r="133" spans="1:6">
      <c r="A133" t="s">
        <v>159</v>
      </c>
      <c r="B133" t="s">
        <v>261</v>
      </c>
      <c r="C133" t="s">
        <v>262</v>
      </c>
      <c r="D133" s="1">
        <v>46152</v>
      </c>
      <c r="E133">
        <v>329140.92</v>
      </c>
      <c r="F133" t="s">
        <v>26</v>
      </c>
    </row>
    <row r="134" spans="1:6">
      <c r="A134" t="s">
        <v>159</v>
      </c>
      <c r="B134" t="s">
        <v>263</v>
      </c>
      <c r="C134" t="s">
        <v>264</v>
      </c>
      <c r="D134" s="1">
        <v>46152</v>
      </c>
      <c r="E134">
        <v>269606.73</v>
      </c>
      <c r="F134" t="s">
        <v>9</v>
      </c>
    </row>
    <row r="135" spans="1:6">
      <c r="A135" t="s">
        <v>159</v>
      </c>
      <c r="B135" t="s">
        <v>265</v>
      </c>
      <c r="C135" t="s">
        <v>266</v>
      </c>
      <c r="D135" s="1">
        <v>46152</v>
      </c>
      <c r="E135">
        <v>368608.07</v>
      </c>
      <c r="F135" t="s">
        <v>9</v>
      </c>
    </row>
    <row r="136" spans="1:6">
      <c r="A136" t="s">
        <v>159</v>
      </c>
      <c r="B136" t="s">
        <v>267</v>
      </c>
      <c r="C136" t="s">
        <v>145</v>
      </c>
      <c r="D136" s="1">
        <v>46152</v>
      </c>
      <c r="E136">
        <v>249347.95</v>
      </c>
      <c r="F136" t="s">
        <v>9</v>
      </c>
    </row>
    <row r="137" spans="1:6">
      <c r="A137" t="s">
        <v>159</v>
      </c>
      <c r="B137" t="s">
        <v>268</v>
      </c>
      <c r="C137" t="s">
        <v>195</v>
      </c>
      <c r="D137" s="1">
        <v>46152</v>
      </c>
      <c r="E137">
        <v>503661.14</v>
      </c>
      <c r="F137" t="s">
        <v>26</v>
      </c>
    </row>
    <row r="138" spans="1:6">
      <c r="A138" t="s">
        <v>159</v>
      </c>
      <c r="B138" t="s">
        <v>269</v>
      </c>
      <c r="C138" t="s">
        <v>250</v>
      </c>
      <c r="D138" s="1">
        <v>46152</v>
      </c>
      <c r="E138">
        <v>4446.42</v>
      </c>
      <c r="F138" t="s">
        <v>9</v>
      </c>
    </row>
    <row r="139" spans="1:6">
      <c r="A139" t="s">
        <v>159</v>
      </c>
      <c r="B139" t="s">
        <v>270</v>
      </c>
      <c r="C139" t="s">
        <v>271</v>
      </c>
      <c r="D139" s="1">
        <v>46152</v>
      </c>
      <c r="E139">
        <v>9963.56</v>
      </c>
      <c r="F139" t="s">
        <v>9</v>
      </c>
    </row>
    <row r="140" spans="1:6">
      <c r="A140" t="s">
        <v>159</v>
      </c>
      <c r="B140" t="s">
        <v>272</v>
      </c>
      <c r="C140" t="s">
        <v>273</v>
      </c>
      <c r="D140" s="1">
        <v>46153</v>
      </c>
      <c r="E140">
        <v>472566.69</v>
      </c>
      <c r="F140" t="s">
        <v>9</v>
      </c>
    </row>
    <row r="141" spans="1:6">
      <c r="A141" t="s">
        <v>159</v>
      </c>
      <c r="B141" t="s">
        <v>274</v>
      </c>
      <c r="C141" t="s">
        <v>32</v>
      </c>
      <c r="D141" s="1">
        <v>46153</v>
      </c>
      <c r="E141">
        <v>74019.149999999994</v>
      </c>
      <c r="F141" t="s">
        <v>26</v>
      </c>
    </row>
    <row r="142" spans="1:6">
      <c r="A142" t="s">
        <v>159</v>
      </c>
      <c r="B142" t="s">
        <v>275</v>
      </c>
      <c r="C142" t="s">
        <v>276</v>
      </c>
      <c r="D142" s="1">
        <v>46153</v>
      </c>
      <c r="E142">
        <v>22684.92</v>
      </c>
      <c r="F142" t="s">
        <v>9</v>
      </c>
    </row>
    <row r="143" spans="1:6">
      <c r="A143" t="s">
        <v>159</v>
      </c>
      <c r="B143" t="s">
        <v>277</v>
      </c>
      <c r="C143" t="s">
        <v>278</v>
      </c>
      <c r="D143" s="1">
        <v>46153</v>
      </c>
      <c r="E143">
        <v>12806.86</v>
      </c>
      <c r="F143" t="s">
        <v>9</v>
      </c>
    </row>
    <row r="144" spans="1:6">
      <c r="A144" t="s">
        <v>159</v>
      </c>
      <c r="B144" t="s">
        <v>279</v>
      </c>
      <c r="C144" t="s">
        <v>280</v>
      </c>
      <c r="D144" s="1">
        <v>46153</v>
      </c>
      <c r="E144">
        <v>27690.880000000001</v>
      </c>
      <c r="F144" t="s">
        <v>9</v>
      </c>
    </row>
    <row r="145" spans="1:6">
      <c r="A145" t="s">
        <v>159</v>
      </c>
      <c r="B145" t="s">
        <v>281</v>
      </c>
      <c r="C145" t="s">
        <v>282</v>
      </c>
      <c r="D145" s="1">
        <v>46154</v>
      </c>
      <c r="E145">
        <v>255194.2</v>
      </c>
      <c r="F145" t="s">
        <v>9</v>
      </c>
    </row>
    <row r="146" spans="1:6">
      <c r="A146" t="s">
        <v>159</v>
      </c>
      <c r="B146" t="s">
        <v>283</v>
      </c>
      <c r="C146" t="s">
        <v>284</v>
      </c>
      <c r="D146" s="1">
        <v>46154</v>
      </c>
      <c r="E146">
        <v>87034.05</v>
      </c>
      <c r="F146" t="s">
        <v>9</v>
      </c>
    </row>
    <row r="147" spans="1:6">
      <c r="A147" t="s">
        <v>159</v>
      </c>
      <c r="B147" t="s">
        <v>285</v>
      </c>
      <c r="C147" t="s">
        <v>286</v>
      </c>
      <c r="D147" s="1">
        <v>46154</v>
      </c>
      <c r="E147">
        <v>315175.57</v>
      </c>
      <c r="F147" t="s">
        <v>26</v>
      </c>
    </row>
    <row r="148" spans="1:6">
      <c r="A148" t="s">
        <v>159</v>
      </c>
      <c r="B148" t="s">
        <v>287</v>
      </c>
      <c r="C148" t="s">
        <v>288</v>
      </c>
      <c r="D148" s="1">
        <v>46154</v>
      </c>
      <c r="E148">
        <v>56232.480000000003</v>
      </c>
      <c r="F148" t="s">
        <v>16</v>
      </c>
    </row>
    <row r="149" spans="1:6">
      <c r="A149" t="s">
        <v>159</v>
      </c>
      <c r="B149" t="s">
        <v>289</v>
      </c>
      <c r="C149" t="s">
        <v>290</v>
      </c>
      <c r="D149" s="1">
        <v>46154</v>
      </c>
      <c r="E149">
        <v>59932.95</v>
      </c>
      <c r="F149" t="s">
        <v>9</v>
      </c>
    </row>
    <row r="150" spans="1:6">
      <c r="A150" t="s">
        <v>159</v>
      </c>
      <c r="B150" t="s">
        <v>291</v>
      </c>
      <c r="C150" t="s">
        <v>292</v>
      </c>
      <c r="D150" s="1">
        <v>46154</v>
      </c>
      <c r="E150">
        <v>39432.089999999997</v>
      </c>
      <c r="F150" t="s">
        <v>26</v>
      </c>
    </row>
    <row r="151" spans="1:6">
      <c r="A151" t="s">
        <v>159</v>
      </c>
      <c r="B151" t="s">
        <v>293</v>
      </c>
      <c r="C151" t="s">
        <v>294</v>
      </c>
      <c r="D151" s="1">
        <v>46154</v>
      </c>
      <c r="E151">
        <v>10527.95</v>
      </c>
      <c r="F151" t="s">
        <v>26</v>
      </c>
    </row>
    <row r="152" spans="1:6">
      <c r="A152" t="s">
        <v>159</v>
      </c>
      <c r="B152" t="s">
        <v>295</v>
      </c>
      <c r="C152" t="s">
        <v>296</v>
      </c>
      <c r="D152" s="1">
        <v>46155</v>
      </c>
      <c r="E152">
        <v>451022.4</v>
      </c>
      <c r="F152" t="s">
        <v>16</v>
      </c>
    </row>
    <row r="153" spans="1:6">
      <c r="A153" t="s">
        <v>159</v>
      </c>
      <c r="B153" t="s">
        <v>297</v>
      </c>
      <c r="C153" t="s">
        <v>298</v>
      </c>
      <c r="D153" s="1">
        <v>46155</v>
      </c>
      <c r="E153">
        <v>75960.27</v>
      </c>
      <c r="F153" t="s">
        <v>9</v>
      </c>
    </row>
    <row r="154" spans="1:6">
      <c r="A154" t="s">
        <v>159</v>
      </c>
      <c r="B154" t="s">
        <v>299</v>
      </c>
      <c r="C154" t="s">
        <v>280</v>
      </c>
      <c r="D154" s="1">
        <v>46155</v>
      </c>
      <c r="E154">
        <v>13027.56</v>
      </c>
      <c r="F154" t="s">
        <v>16</v>
      </c>
    </row>
    <row r="155" spans="1:6">
      <c r="A155" t="s">
        <v>159</v>
      </c>
      <c r="B155" t="s">
        <v>300</v>
      </c>
      <c r="C155" t="s">
        <v>301</v>
      </c>
      <c r="D155" s="1">
        <v>46155</v>
      </c>
      <c r="E155">
        <v>243325.57</v>
      </c>
      <c r="F155" t="s">
        <v>9</v>
      </c>
    </row>
    <row r="156" spans="1:6">
      <c r="A156" t="s">
        <v>159</v>
      </c>
      <c r="B156" t="s">
        <v>302</v>
      </c>
      <c r="C156" t="s">
        <v>303</v>
      </c>
      <c r="D156" s="1">
        <v>46156</v>
      </c>
      <c r="E156">
        <v>378331.17</v>
      </c>
      <c r="F156" t="s">
        <v>16</v>
      </c>
    </row>
    <row r="157" spans="1:6">
      <c r="A157" t="s">
        <v>159</v>
      </c>
      <c r="B157" t="s">
        <v>304</v>
      </c>
      <c r="C157" t="s">
        <v>305</v>
      </c>
      <c r="D157" s="1">
        <v>46156</v>
      </c>
      <c r="E157">
        <v>75905.84</v>
      </c>
      <c r="F157" t="s">
        <v>26</v>
      </c>
    </row>
    <row r="158" spans="1:6">
      <c r="A158" t="s">
        <v>159</v>
      </c>
      <c r="B158" t="s">
        <v>306</v>
      </c>
      <c r="C158" t="s">
        <v>307</v>
      </c>
      <c r="D158" s="1">
        <v>46156</v>
      </c>
      <c r="E158">
        <v>2503202.56</v>
      </c>
      <c r="F158" t="s">
        <v>9</v>
      </c>
    </row>
    <row r="159" spans="1:6">
      <c r="A159" t="s">
        <v>159</v>
      </c>
      <c r="B159" t="s">
        <v>308</v>
      </c>
      <c r="C159" t="s">
        <v>309</v>
      </c>
      <c r="D159" s="1">
        <v>46156</v>
      </c>
      <c r="E159">
        <v>75067.69</v>
      </c>
      <c r="F159" t="s">
        <v>9</v>
      </c>
    </row>
    <row r="160" spans="1:6">
      <c r="A160" t="s">
        <v>159</v>
      </c>
      <c r="B160" t="s">
        <v>310</v>
      </c>
      <c r="C160" t="s">
        <v>311</v>
      </c>
      <c r="D160" s="1">
        <v>46156</v>
      </c>
      <c r="E160">
        <v>54859.8</v>
      </c>
      <c r="F160" t="s">
        <v>26</v>
      </c>
    </row>
    <row r="161" spans="1:6">
      <c r="A161" t="s">
        <v>159</v>
      </c>
      <c r="B161" t="s">
        <v>312</v>
      </c>
      <c r="C161" t="s">
        <v>313</v>
      </c>
      <c r="D161" s="1">
        <v>46156</v>
      </c>
      <c r="E161">
        <v>269015</v>
      </c>
      <c r="F161" t="s">
        <v>26</v>
      </c>
    </row>
    <row r="162" spans="1:6">
      <c r="A162" t="s">
        <v>159</v>
      </c>
      <c r="B162" t="s">
        <v>314</v>
      </c>
      <c r="C162" t="s">
        <v>315</v>
      </c>
      <c r="D162" s="1">
        <v>46156</v>
      </c>
      <c r="E162">
        <v>156284.29</v>
      </c>
      <c r="F162" t="s">
        <v>9</v>
      </c>
    </row>
    <row r="163" spans="1:6">
      <c r="A163" t="s">
        <v>159</v>
      </c>
      <c r="B163" t="s">
        <v>316</v>
      </c>
      <c r="C163" t="s">
        <v>317</v>
      </c>
      <c r="D163" s="1">
        <v>46156</v>
      </c>
      <c r="E163">
        <v>137564.41</v>
      </c>
      <c r="F163" t="s">
        <v>26</v>
      </c>
    </row>
    <row r="164" spans="1:6">
      <c r="A164" t="s">
        <v>159</v>
      </c>
      <c r="B164" t="s">
        <v>318</v>
      </c>
      <c r="C164" t="s">
        <v>319</v>
      </c>
      <c r="D164" s="1">
        <v>46157</v>
      </c>
      <c r="E164">
        <v>988.66</v>
      </c>
      <c r="F164" t="s">
        <v>9</v>
      </c>
    </row>
    <row r="165" spans="1:6">
      <c r="A165" t="s">
        <v>159</v>
      </c>
      <c r="B165" t="s">
        <v>320</v>
      </c>
      <c r="C165" t="s">
        <v>321</v>
      </c>
      <c r="D165" s="1">
        <v>46157</v>
      </c>
      <c r="E165">
        <v>1108.8</v>
      </c>
      <c r="F165" t="s">
        <v>16</v>
      </c>
    </row>
    <row r="166" spans="1:6">
      <c r="A166" t="s">
        <v>159</v>
      </c>
      <c r="B166" t="s">
        <v>322</v>
      </c>
      <c r="C166" t="s">
        <v>323</v>
      </c>
      <c r="D166" s="1">
        <v>46157</v>
      </c>
      <c r="E166">
        <v>418677.52</v>
      </c>
      <c r="F166" t="s">
        <v>16</v>
      </c>
    </row>
    <row r="167" spans="1:6">
      <c r="A167" t="s">
        <v>159</v>
      </c>
      <c r="B167" t="s">
        <v>324</v>
      </c>
      <c r="C167" t="s">
        <v>325</v>
      </c>
      <c r="D167" s="1">
        <v>46157</v>
      </c>
      <c r="E167">
        <v>301409.53999999998</v>
      </c>
      <c r="F167" t="s">
        <v>9</v>
      </c>
    </row>
    <row r="168" spans="1:6">
      <c r="A168" t="s">
        <v>159</v>
      </c>
      <c r="B168" t="s">
        <v>326</v>
      </c>
      <c r="C168" t="s">
        <v>327</v>
      </c>
      <c r="D168" s="1">
        <v>46157</v>
      </c>
      <c r="E168">
        <v>5000</v>
      </c>
      <c r="F168" t="s">
        <v>9</v>
      </c>
    </row>
    <row r="169" spans="1:6">
      <c r="A169" t="s">
        <v>159</v>
      </c>
      <c r="B169" t="s">
        <v>328</v>
      </c>
      <c r="C169" t="s">
        <v>329</v>
      </c>
      <c r="D169" s="1">
        <v>46157</v>
      </c>
      <c r="E169">
        <v>731992.64</v>
      </c>
      <c r="F169" t="s">
        <v>9</v>
      </c>
    </row>
    <row r="170" spans="1:6">
      <c r="A170" t="s">
        <v>159</v>
      </c>
      <c r="B170" t="s">
        <v>330</v>
      </c>
      <c r="C170" t="s">
        <v>331</v>
      </c>
      <c r="D170" s="1">
        <v>46157</v>
      </c>
      <c r="E170">
        <v>119907.09</v>
      </c>
      <c r="F170" t="s">
        <v>9</v>
      </c>
    </row>
    <row r="171" spans="1:6">
      <c r="A171" t="s">
        <v>159</v>
      </c>
      <c r="B171" t="s">
        <v>332</v>
      </c>
      <c r="C171" t="s">
        <v>333</v>
      </c>
      <c r="D171" s="1">
        <v>46157</v>
      </c>
      <c r="E171">
        <v>567334.06999999995</v>
      </c>
      <c r="F171" t="s">
        <v>9</v>
      </c>
    </row>
    <row r="172" spans="1:6">
      <c r="A172" t="s">
        <v>159</v>
      </c>
      <c r="B172" t="s">
        <v>334</v>
      </c>
      <c r="C172" t="s">
        <v>335</v>
      </c>
      <c r="D172" s="1">
        <v>46157</v>
      </c>
      <c r="E172">
        <v>9284.5</v>
      </c>
      <c r="F172" t="s">
        <v>9</v>
      </c>
    </row>
    <row r="173" spans="1:6">
      <c r="A173" t="s">
        <v>159</v>
      </c>
      <c r="B173" t="s">
        <v>336</v>
      </c>
      <c r="C173" t="s">
        <v>337</v>
      </c>
      <c r="D173" s="1">
        <v>46158</v>
      </c>
      <c r="E173">
        <v>127338.64</v>
      </c>
      <c r="F173" t="s">
        <v>9</v>
      </c>
    </row>
    <row r="174" spans="1:6">
      <c r="A174" t="s">
        <v>159</v>
      </c>
      <c r="B174" t="s">
        <v>338</v>
      </c>
      <c r="C174" t="s">
        <v>339</v>
      </c>
      <c r="D174" s="1">
        <v>46158</v>
      </c>
      <c r="E174">
        <v>55788.98</v>
      </c>
      <c r="F174" t="s">
        <v>9</v>
      </c>
    </row>
    <row r="175" spans="1:6">
      <c r="A175" t="s">
        <v>159</v>
      </c>
      <c r="B175" t="s">
        <v>340</v>
      </c>
      <c r="C175" t="s">
        <v>341</v>
      </c>
      <c r="D175" s="1">
        <v>46158</v>
      </c>
      <c r="E175">
        <v>531262.05000000005</v>
      </c>
      <c r="F175" t="s">
        <v>9</v>
      </c>
    </row>
    <row r="176" spans="1:6">
      <c r="A176" t="s">
        <v>159</v>
      </c>
      <c r="B176" t="s">
        <v>342</v>
      </c>
      <c r="C176" t="s">
        <v>343</v>
      </c>
      <c r="D176" s="1">
        <v>46158</v>
      </c>
      <c r="E176">
        <v>37093.370000000003</v>
      </c>
      <c r="F176" t="s">
        <v>9</v>
      </c>
    </row>
    <row r="177" spans="1:6">
      <c r="A177" t="s">
        <v>159</v>
      </c>
      <c r="B177" t="s">
        <v>344</v>
      </c>
      <c r="C177" t="s">
        <v>345</v>
      </c>
      <c r="D177" s="1">
        <v>46158</v>
      </c>
      <c r="E177">
        <v>302401.59000000003</v>
      </c>
      <c r="F177" t="s">
        <v>26</v>
      </c>
    </row>
    <row r="178" spans="1:6">
      <c r="A178" t="s">
        <v>159</v>
      </c>
      <c r="B178" t="s">
        <v>346</v>
      </c>
      <c r="C178" t="s">
        <v>347</v>
      </c>
      <c r="D178" s="1">
        <v>46158</v>
      </c>
      <c r="E178">
        <v>404751.45</v>
      </c>
      <c r="F178" t="s">
        <v>9</v>
      </c>
    </row>
    <row r="179" spans="1:6">
      <c r="A179" t="s">
        <v>159</v>
      </c>
      <c r="B179" t="s">
        <v>348</v>
      </c>
      <c r="C179" t="s">
        <v>349</v>
      </c>
      <c r="D179" s="1">
        <v>46158</v>
      </c>
      <c r="E179">
        <v>65444.7</v>
      </c>
      <c r="F179" t="s">
        <v>26</v>
      </c>
    </row>
    <row r="180" spans="1:6">
      <c r="A180" t="s">
        <v>159</v>
      </c>
      <c r="B180" t="s">
        <v>350</v>
      </c>
      <c r="C180" t="s">
        <v>351</v>
      </c>
      <c r="D180" s="1">
        <v>46159</v>
      </c>
      <c r="E180">
        <v>47468.66</v>
      </c>
      <c r="F180" t="s">
        <v>16</v>
      </c>
    </row>
    <row r="181" spans="1:6">
      <c r="A181" t="s">
        <v>159</v>
      </c>
      <c r="B181" t="s">
        <v>352</v>
      </c>
      <c r="C181" t="s">
        <v>353</v>
      </c>
      <c r="D181" s="1">
        <v>46159</v>
      </c>
      <c r="E181">
        <v>195600.67</v>
      </c>
      <c r="F181" t="s">
        <v>16</v>
      </c>
    </row>
    <row r="182" spans="1:6">
      <c r="A182" t="s">
        <v>159</v>
      </c>
      <c r="B182" t="s">
        <v>354</v>
      </c>
      <c r="C182" t="s">
        <v>355</v>
      </c>
      <c r="D182" s="1">
        <v>46159</v>
      </c>
      <c r="E182">
        <v>35486.400000000001</v>
      </c>
      <c r="F182" t="s">
        <v>16</v>
      </c>
    </row>
    <row r="183" spans="1:6">
      <c r="A183" t="s">
        <v>159</v>
      </c>
      <c r="B183" t="s">
        <v>356</v>
      </c>
      <c r="C183" t="s">
        <v>357</v>
      </c>
      <c r="D183" s="1">
        <v>46159</v>
      </c>
      <c r="E183">
        <v>31321.72</v>
      </c>
      <c r="F183" t="s">
        <v>9</v>
      </c>
    </row>
    <row r="184" spans="1:6">
      <c r="A184" t="s">
        <v>159</v>
      </c>
      <c r="B184" t="s">
        <v>358</v>
      </c>
      <c r="C184" t="s">
        <v>359</v>
      </c>
      <c r="D184" s="1">
        <v>46159</v>
      </c>
      <c r="E184">
        <v>58057.62</v>
      </c>
      <c r="F184" t="s">
        <v>9</v>
      </c>
    </row>
    <row r="185" spans="1:6">
      <c r="A185" t="s">
        <v>159</v>
      </c>
      <c r="B185" t="s">
        <v>360</v>
      </c>
      <c r="C185" t="s">
        <v>361</v>
      </c>
      <c r="D185" s="1">
        <v>46159</v>
      </c>
      <c r="E185">
        <v>44829.96</v>
      </c>
      <c r="F185" t="s">
        <v>9</v>
      </c>
    </row>
    <row r="186" spans="1:6">
      <c r="A186" t="s">
        <v>159</v>
      </c>
      <c r="B186" t="s">
        <v>362</v>
      </c>
      <c r="C186" t="s">
        <v>363</v>
      </c>
      <c r="D186" s="1">
        <v>46159</v>
      </c>
      <c r="E186">
        <v>176655.86</v>
      </c>
      <c r="F186" t="s">
        <v>16</v>
      </c>
    </row>
    <row r="187" spans="1:6">
      <c r="A187" t="s">
        <v>159</v>
      </c>
      <c r="B187" t="s">
        <v>364</v>
      </c>
      <c r="C187" t="s">
        <v>365</v>
      </c>
      <c r="D187" s="1">
        <v>46159</v>
      </c>
      <c r="E187">
        <v>32084.880000000001</v>
      </c>
      <c r="F187" t="s">
        <v>26</v>
      </c>
    </row>
    <row r="188" spans="1:6">
      <c r="A188" t="s">
        <v>159</v>
      </c>
      <c r="B188" t="s">
        <v>366</v>
      </c>
      <c r="C188" t="s">
        <v>367</v>
      </c>
      <c r="D188" s="1">
        <v>46159</v>
      </c>
      <c r="E188">
        <v>192566.37</v>
      </c>
      <c r="F188" t="s">
        <v>9</v>
      </c>
    </row>
    <row r="189" spans="1:6">
      <c r="A189" t="s">
        <v>159</v>
      </c>
      <c r="B189" t="s">
        <v>368</v>
      </c>
      <c r="C189" t="s">
        <v>369</v>
      </c>
      <c r="D189" s="1">
        <v>46159</v>
      </c>
      <c r="E189">
        <v>13608.98</v>
      </c>
      <c r="F189" t="s">
        <v>9</v>
      </c>
    </row>
    <row r="190" spans="1:6">
      <c r="A190" t="s">
        <v>159</v>
      </c>
      <c r="B190" t="s">
        <v>370</v>
      </c>
      <c r="C190" t="s">
        <v>371</v>
      </c>
      <c r="D190" s="1">
        <v>46159</v>
      </c>
      <c r="E190">
        <v>29699.21</v>
      </c>
      <c r="F190" t="s">
        <v>9</v>
      </c>
    </row>
    <row r="191" spans="1:6">
      <c r="A191" t="s">
        <v>159</v>
      </c>
      <c r="B191" t="s">
        <v>372</v>
      </c>
      <c r="C191" t="s">
        <v>373</v>
      </c>
      <c r="D191" s="1">
        <v>46160</v>
      </c>
      <c r="E191">
        <v>159642.54</v>
      </c>
      <c r="F191" t="s">
        <v>9</v>
      </c>
    </row>
    <row r="192" spans="1:6">
      <c r="A192" t="s">
        <v>159</v>
      </c>
      <c r="B192" t="s">
        <v>374</v>
      </c>
      <c r="C192" t="s">
        <v>69</v>
      </c>
      <c r="D192" s="1">
        <v>46160</v>
      </c>
      <c r="E192">
        <v>77034.559999999998</v>
      </c>
      <c r="F192" t="s">
        <v>16</v>
      </c>
    </row>
    <row r="193" spans="1:6">
      <c r="A193" t="s">
        <v>159</v>
      </c>
      <c r="B193" t="s">
        <v>375</v>
      </c>
      <c r="C193" t="s">
        <v>376</v>
      </c>
      <c r="D193" s="1">
        <v>46160</v>
      </c>
      <c r="E193">
        <v>2000000</v>
      </c>
      <c r="F193" t="s">
        <v>16</v>
      </c>
    </row>
    <row r="194" spans="1:6">
      <c r="A194" t="s">
        <v>159</v>
      </c>
      <c r="B194" t="s">
        <v>377</v>
      </c>
      <c r="C194" t="s">
        <v>378</v>
      </c>
      <c r="D194" s="1">
        <v>46160</v>
      </c>
      <c r="E194">
        <v>185727.02</v>
      </c>
      <c r="F194" t="s">
        <v>9</v>
      </c>
    </row>
    <row r="195" spans="1:6">
      <c r="A195" t="s">
        <v>159</v>
      </c>
      <c r="B195" t="s">
        <v>379</v>
      </c>
      <c r="C195" t="s">
        <v>380</v>
      </c>
      <c r="D195" s="1">
        <v>46160</v>
      </c>
      <c r="E195">
        <v>25076.720000000001</v>
      </c>
      <c r="F195" t="s">
        <v>9</v>
      </c>
    </row>
    <row r="196" spans="1:6">
      <c r="A196" t="s">
        <v>159</v>
      </c>
      <c r="B196" t="s">
        <v>381</v>
      </c>
      <c r="C196" t="s">
        <v>382</v>
      </c>
      <c r="D196" s="1">
        <v>46161</v>
      </c>
      <c r="E196">
        <v>31535.279999999999</v>
      </c>
      <c r="F196" t="s">
        <v>9</v>
      </c>
    </row>
    <row r="197" spans="1:6">
      <c r="A197" t="s">
        <v>159</v>
      </c>
      <c r="B197" t="s">
        <v>383</v>
      </c>
      <c r="C197" t="s">
        <v>384</v>
      </c>
      <c r="D197" s="1">
        <v>46161</v>
      </c>
      <c r="E197">
        <v>38288.050000000003</v>
      </c>
      <c r="F197" t="s">
        <v>9</v>
      </c>
    </row>
    <row r="198" spans="1:6">
      <c r="A198" t="s">
        <v>159</v>
      </c>
      <c r="B198" t="s">
        <v>385</v>
      </c>
      <c r="C198" t="s">
        <v>386</v>
      </c>
      <c r="D198" s="1">
        <v>46161</v>
      </c>
      <c r="E198">
        <v>110596.23</v>
      </c>
      <c r="F198" t="s">
        <v>9</v>
      </c>
    </row>
    <row r="199" spans="1:6">
      <c r="A199" t="s">
        <v>159</v>
      </c>
      <c r="B199" t="s">
        <v>387</v>
      </c>
      <c r="C199" t="s">
        <v>388</v>
      </c>
      <c r="D199" s="1">
        <v>46161</v>
      </c>
      <c r="E199">
        <v>87002.33</v>
      </c>
      <c r="F199" t="s">
        <v>9</v>
      </c>
    </row>
    <row r="200" spans="1:6">
      <c r="A200" t="s">
        <v>159</v>
      </c>
      <c r="B200" t="s">
        <v>389</v>
      </c>
      <c r="C200" t="s">
        <v>390</v>
      </c>
      <c r="D200" s="1">
        <v>46161</v>
      </c>
      <c r="E200">
        <v>789606.96</v>
      </c>
      <c r="F200" t="s">
        <v>9</v>
      </c>
    </row>
    <row r="201" spans="1:6">
      <c r="A201" t="s">
        <v>159</v>
      </c>
      <c r="B201" t="s">
        <v>391</v>
      </c>
      <c r="C201" t="s">
        <v>392</v>
      </c>
      <c r="D201" s="1">
        <v>46161</v>
      </c>
      <c r="E201">
        <v>63417.5</v>
      </c>
      <c r="F201" t="s">
        <v>9</v>
      </c>
    </row>
    <row r="202" spans="1:6">
      <c r="A202" t="s">
        <v>159</v>
      </c>
      <c r="B202" t="s">
        <v>393</v>
      </c>
      <c r="C202" t="s">
        <v>394</v>
      </c>
      <c r="D202" s="1">
        <v>46161</v>
      </c>
      <c r="E202">
        <v>34078.58</v>
      </c>
      <c r="F202" t="s">
        <v>9</v>
      </c>
    </row>
    <row r="203" spans="1:6">
      <c r="A203" t="s">
        <v>159</v>
      </c>
      <c r="B203" t="s">
        <v>395</v>
      </c>
      <c r="C203" t="s">
        <v>396</v>
      </c>
      <c r="D203" s="1">
        <v>46162</v>
      </c>
      <c r="E203">
        <v>293983.57</v>
      </c>
      <c r="F203" t="s">
        <v>26</v>
      </c>
    </row>
    <row r="204" spans="1:6">
      <c r="A204" t="s">
        <v>159</v>
      </c>
      <c r="B204" t="s">
        <v>397</v>
      </c>
      <c r="C204" t="s">
        <v>398</v>
      </c>
      <c r="D204" s="1">
        <v>46162</v>
      </c>
      <c r="E204">
        <v>55043.34</v>
      </c>
      <c r="F204" t="s">
        <v>9</v>
      </c>
    </row>
    <row r="205" spans="1:6">
      <c r="A205" t="s">
        <v>159</v>
      </c>
      <c r="B205" t="s">
        <v>399</v>
      </c>
      <c r="C205" t="s">
        <v>400</v>
      </c>
      <c r="D205" s="1">
        <v>46162</v>
      </c>
      <c r="E205">
        <v>9860.6</v>
      </c>
      <c r="F205" t="s">
        <v>26</v>
      </c>
    </row>
    <row r="206" spans="1:6">
      <c r="A206" t="s">
        <v>159</v>
      </c>
      <c r="B206" t="s">
        <v>401</v>
      </c>
      <c r="C206" t="s">
        <v>402</v>
      </c>
      <c r="D206" s="1">
        <v>46162</v>
      </c>
      <c r="E206">
        <v>27299.39</v>
      </c>
      <c r="F206" t="s">
        <v>9</v>
      </c>
    </row>
    <row r="207" spans="1:6">
      <c r="A207" t="s">
        <v>159</v>
      </c>
      <c r="B207" t="s">
        <v>403</v>
      </c>
      <c r="C207" t="s">
        <v>404</v>
      </c>
      <c r="D207" s="1">
        <v>46162</v>
      </c>
      <c r="E207">
        <v>146149.43</v>
      </c>
      <c r="F207" t="s">
        <v>9</v>
      </c>
    </row>
    <row r="208" spans="1:6">
      <c r="A208" t="s">
        <v>159</v>
      </c>
      <c r="B208" t="s">
        <v>405</v>
      </c>
      <c r="C208" t="s">
        <v>331</v>
      </c>
      <c r="D208" s="1">
        <v>46163</v>
      </c>
      <c r="E208">
        <v>229475.34</v>
      </c>
      <c r="F208" t="s">
        <v>9</v>
      </c>
    </row>
    <row r="209" spans="1:6">
      <c r="A209" t="s">
        <v>159</v>
      </c>
      <c r="B209" t="s">
        <v>406</v>
      </c>
      <c r="C209" t="s">
        <v>407</v>
      </c>
      <c r="D209" s="1">
        <v>46163</v>
      </c>
      <c r="E209">
        <v>43023.98</v>
      </c>
      <c r="F209" t="s">
        <v>9</v>
      </c>
    </row>
    <row r="210" spans="1:6">
      <c r="A210" t="s">
        <v>159</v>
      </c>
      <c r="B210" t="s">
        <v>408</v>
      </c>
      <c r="C210" t="s">
        <v>409</v>
      </c>
      <c r="D210" s="1">
        <v>46163</v>
      </c>
      <c r="E210">
        <v>38452.019999999997</v>
      </c>
      <c r="F210" t="s">
        <v>9</v>
      </c>
    </row>
    <row r="211" spans="1:6">
      <c r="A211" t="s">
        <v>159</v>
      </c>
      <c r="B211" t="s">
        <v>410</v>
      </c>
      <c r="C211" t="s">
        <v>411</v>
      </c>
      <c r="D211" s="1">
        <v>46163</v>
      </c>
      <c r="E211">
        <v>54468.88</v>
      </c>
      <c r="F211" t="s">
        <v>9</v>
      </c>
    </row>
    <row r="212" spans="1:6">
      <c r="A212" t="s">
        <v>159</v>
      </c>
      <c r="B212" t="s">
        <v>412</v>
      </c>
      <c r="C212" t="s">
        <v>413</v>
      </c>
      <c r="D212" s="1">
        <v>46163</v>
      </c>
      <c r="E212">
        <v>78969.289999999994</v>
      </c>
      <c r="F212" t="s">
        <v>9</v>
      </c>
    </row>
    <row r="213" spans="1:6">
      <c r="A213" t="s">
        <v>159</v>
      </c>
      <c r="B213" t="s">
        <v>414</v>
      </c>
      <c r="C213" t="s">
        <v>415</v>
      </c>
      <c r="D213" s="1">
        <v>46163</v>
      </c>
      <c r="E213">
        <v>82536.92</v>
      </c>
      <c r="F213" t="s">
        <v>9</v>
      </c>
    </row>
    <row r="214" spans="1:6">
      <c r="A214" t="s">
        <v>159</v>
      </c>
      <c r="B214" t="s">
        <v>416</v>
      </c>
      <c r="C214" t="s">
        <v>417</v>
      </c>
      <c r="D214" s="1">
        <v>46164</v>
      </c>
      <c r="E214">
        <v>524985.55000000005</v>
      </c>
      <c r="F214" t="s">
        <v>16</v>
      </c>
    </row>
    <row r="215" spans="1:6">
      <c r="A215" t="s">
        <v>159</v>
      </c>
      <c r="B215" t="s">
        <v>418</v>
      </c>
      <c r="C215" t="s">
        <v>351</v>
      </c>
      <c r="D215" s="1">
        <v>46164</v>
      </c>
      <c r="E215">
        <v>63905.51</v>
      </c>
      <c r="F215" t="s">
        <v>16</v>
      </c>
    </row>
    <row r="216" spans="1:6">
      <c r="A216" t="s">
        <v>159</v>
      </c>
      <c r="B216" t="s">
        <v>419</v>
      </c>
      <c r="C216" t="s">
        <v>420</v>
      </c>
      <c r="D216" s="1">
        <v>46164</v>
      </c>
      <c r="E216">
        <v>148558</v>
      </c>
      <c r="F216" t="s">
        <v>9</v>
      </c>
    </row>
    <row r="217" spans="1:6">
      <c r="A217" t="s">
        <v>159</v>
      </c>
      <c r="B217" t="s">
        <v>421</v>
      </c>
      <c r="C217" t="s">
        <v>422</v>
      </c>
      <c r="D217" s="1">
        <v>46164</v>
      </c>
      <c r="E217">
        <v>123033.21</v>
      </c>
      <c r="F217" t="s">
        <v>16</v>
      </c>
    </row>
    <row r="218" spans="1:6">
      <c r="A218" t="s">
        <v>159</v>
      </c>
      <c r="B218" t="s">
        <v>423</v>
      </c>
      <c r="C218" t="s">
        <v>424</v>
      </c>
      <c r="D218" s="1">
        <v>46164</v>
      </c>
      <c r="E218">
        <v>364292.42</v>
      </c>
      <c r="F218" t="s">
        <v>9</v>
      </c>
    </row>
    <row r="219" spans="1:6">
      <c r="A219" t="s">
        <v>159</v>
      </c>
      <c r="B219" t="s">
        <v>425</v>
      </c>
      <c r="C219" t="s">
        <v>426</v>
      </c>
      <c r="D219" s="1">
        <v>46164</v>
      </c>
      <c r="E219">
        <v>76881.89</v>
      </c>
      <c r="F219" t="s">
        <v>9</v>
      </c>
    </row>
    <row r="220" spans="1:6">
      <c r="A220" t="s">
        <v>159</v>
      </c>
      <c r="B220" t="s">
        <v>427</v>
      </c>
      <c r="C220" t="s">
        <v>428</v>
      </c>
      <c r="D220" s="1">
        <v>46164</v>
      </c>
      <c r="E220">
        <v>46711.65</v>
      </c>
      <c r="F220" t="s">
        <v>26</v>
      </c>
    </row>
    <row r="221" spans="1:6">
      <c r="A221" t="s">
        <v>159</v>
      </c>
      <c r="B221" t="s">
        <v>429</v>
      </c>
      <c r="C221" t="s">
        <v>430</v>
      </c>
      <c r="D221" s="1">
        <v>46164</v>
      </c>
      <c r="E221">
        <v>24005.43</v>
      </c>
      <c r="F221" t="s">
        <v>26</v>
      </c>
    </row>
    <row r="222" spans="1:6">
      <c r="A222" t="s">
        <v>159</v>
      </c>
      <c r="B222" t="s">
        <v>431</v>
      </c>
      <c r="C222" t="s">
        <v>432</v>
      </c>
      <c r="D222" s="1">
        <v>46164</v>
      </c>
      <c r="E222">
        <v>33941.14</v>
      </c>
      <c r="F222" t="s">
        <v>26</v>
      </c>
    </row>
    <row r="223" spans="1:6">
      <c r="A223" t="s">
        <v>159</v>
      </c>
      <c r="B223" t="s">
        <v>433</v>
      </c>
      <c r="C223" t="s">
        <v>434</v>
      </c>
      <c r="D223" s="1">
        <v>46164</v>
      </c>
      <c r="E223">
        <v>456748.96</v>
      </c>
      <c r="F223" t="s">
        <v>26</v>
      </c>
    </row>
    <row r="224" spans="1:6">
      <c r="A224" t="s">
        <v>159</v>
      </c>
      <c r="B224" t="s">
        <v>435</v>
      </c>
      <c r="C224" t="s">
        <v>436</v>
      </c>
      <c r="D224" s="1">
        <v>46165</v>
      </c>
      <c r="E224">
        <v>535684.94999999995</v>
      </c>
      <c r="F224" t="s">
        <v>16</v>
      </c>
    </row>
    <row r="225" spans="1:6">
      <c r="A225" t="s">
        <v>159</v>
      </c>
      <c r="B225" t="s">
        <v>437</v>
      </c>
      <c r="C225" t="s">
        <v>438</v>
      </c>
      <c r="D225" s="1">
        <v>46165</v>
      </c>
      <c r="E225">
        <v>1412043.84</v>
      </c>
      <c r="F225" t="s">
        <v>9</v>
      </c>
    </row>
    <row r="226" spans="1:6">
      <c r="A226" t="s">
        <v>159</v>
      </c>
      <c r="B226" t="s">
        <v>439</v>
      </c>
      <c r="C226" t="s">
        <v>440</v>
      </c>
      <c r="D226" s="1">
        <v>46165</v>
      </c>
      <c r="E226">
        <v>372533.91</v>
      </c>
      <c r="F226" t="s">
        <v>9</v>
      </c>
    </row>
    <row r="227" spans="1:6">
      <c r="A227" t="s">
        <v>159</v>
      </c>
      <c r="B227" t="s">
        <v>441</v>
      </c>
      <c r="C227" t="s">
        <v>442</v>
      </c>
      <c r="D227" s="1">
        <v>46165</v>
      </c>
      <c r="E227">
        <v>65460.13</v>
      </c>
      <c r="F227" t="s">
        <v>26</v>
      </c>
    </row>
    <row r="228" spans="1:6">
      <c r="A228" t="s">
        <v>159</v>
      </c>
      <c r="B228" t="s">
        <v>443</v>
      </c>
      <c r="C228" t="s">
        <v>444</v>
      </c>
      <c r="D228" s="1">
        <v>46165</v>
      </c>
      <c r="E228">
        <v>376178.78</v>
      </c>
      <c r="F228" t="s">
        <v>16</v>
      </c>
    </row>
    <row r="229" spans="1:6">
      <c r="A229" t="s">
        <v>159</v>
      </c>
      <c r="B229" t="s">
        <v>445</v>
      </c>
      <c r="C229" t="s">
        <v>446</v>
      </c>
      <c r="D229" s="1">
        <v>46165</v>
      </c>
      <c r="E229">
        <v>989605.61</v>
      </c>
      <c r="F229" t="s">
        <v>9</v>
      </c>
    </row>
    <row r="230" spans="1:6">
      <c r="A230" t="s">
        <v>159</v>
      </c>
      <c r="B230" t="s">
        <v>447</v>
      </c>
      <c r="C230" t="s">
        <v>448</v>
      </c>
      <c r="D230" s="1">
        <v>46165</v>
      </c>
      <c r="E230">
        <v>42127.34</v>
      </c>
      <c r="F230" t="s">
        <v>26</v>
      </c>
    </row>
    <row r="231" spans="1:6">
      <c r="A231" t="s">
        <v>159</v>
      </c>
      <c r="B231" t="s">
        <v>449</v>
      </c>
      <c r="C231" t="s">
        <v>450</v>
      </c>
      <c r="D231" s="1">
        <v>46166</v>
      </c>
      <c r="E231">
        <v>37835.68</v>
      </c>
      <c r="F231" t="s">
        <v>9</v>
      </c>
    </row>
    <row r="232" spans="1:6">
      <c r="A232" t="s">
        <v>159</v>
      </c>
      <c r="B232" t="s">
        <v>451</v>
      </c>
      <c r="C232" t="s">
        <v>452</v>
      </c>
      <c r="D232" s="1">
        <v>46166</v>
      </c>
      <c r="E232">
        <v>13268.14</v>
      </c>
      <c r="F232" t="s">
        <v>9</v>
      </c>
    </row>
    <row r="233" spans="1:6">
      <c r="A233" t="s">
        <v>159</v>
      </c>
      <c r="B233" t="s">
        <v>453</v>
      </c>
      <c r="C233" t="s">
        <v>454</v>
      </c>
      <c r="D233" s="1">
        <v>46166</v>
      </c>
      <c r="E233">
        <v>35027.620000000003</v>
      </c>
      <c r="F233" t="s">
        <v>16</v>
      </c>
    </row>
    <row r="234" spans="1:6">
      <c r="A234" t="s">
        <v>159</v>
      </c>
      <c r="B234" t="s">
        <v>455</v>
      </c>
      <c r="C234" t="s">
        <v>456</v>
      </c>
      <c r="D234" s="1">
        <v>46166</v>
      </c>
      <c r="E234">
        <v>19088.080000000002</v>
      </c>
      <c r="F234" t="s">
        <v>9</v>
      </c>
    </row>
    <row r="235" spans="1:6">
      <c r="A235" t="s">
        <v>159</v>
      </c>
      <c r="B235" t="s">
        <v>457</v>
      </c>
      <c r="C235" t="s">
        <v>458</v>
      </c>
      <c r="D235" s="1">
        <v>46166</v>
      </c>
      <c r="E235">
        <v>67881.710000000006</v>
      </c>
      <c r="F235" t="s">
        <v>9</v>
      </c>
    </row>
    <row r="236" spans="1:6">
      <c r="A236" t="s">
        <v>159</v>
      </c>
      <c r="B236" t="s">
        <v>459</v>
      </c>
      <c r="C236" t="s">
        <v>460</v>
      </c>
      <c r="D236" s="1">
        <v>46166</v>
      </c>
      <c r="E236">
        <v>174464.25</v>
      </c>
      <c r="F236" t="s">
        <v>9</v>
      </c>
    </row>
    <row r="237" spans="1:6">
      <c r="A237" t="s">
        <v>159</v>
      </c>
      <c r="B237" t="s">
        <v>461</v>
      </c>
      <c r="C237" t="s">
        <v>462</v>
      </c>
      <c r="D237" s="1">
        <v>46166</v>
      </c>
      <c r="E237">
        <v>134547.97</v>
      </c>
      <c r="F237" t="s">
        <v>9</v>
      </c>
    </row>
    <row r="238" spans="1:6">
      <c r="A238" t="s">
        <v>159</v>
      </c>
      <c r="B238" t="s">
        <v>463</v>
      </c>
      <c r="C238" t="s">
        <v>464</v>
      </c>
      <c r="D238" s="1">
        <v>46166</v>
      </c>
      <c r="E238">
        <v>11697.29</v>
      </c>
      <c r="F238" t="s">
        <v>16</v>
      </c>
    </row>
    <row r="239" spans="1:6">
      <c r="A239" t="s">
        <v>159</v>
      </c>
      <c r="B239" t="s">
        <v>465</v>
      </c>
      <c r="C239" t="s">
        <v>15</v>
      </c>
      <c r="D239" s="1">
        <v>46167</v>
      </c>
      <c r="E239">
        <v>4628.4799999999996</v>
      </c>
      <c r="F239" t="s">
        <v>16</v>
      </c>
    </row>
    <row r="240" spans="1:6">
      <c r="A240" t="s">
        <v>159</v>
      </c>
      <c r="B240" t="s">
        <v>466</v>
      </c>
      <c r="C240" t="s">
        <v>467</v>
      </c>
      <c r="D240" s="1">
        <v>46167</v>
      </c>
      <c r="E240">
        <v>141268.59</v>
      </c>
      <c r="F240" t="s">
        <v>9</v>
      </c>
    </row>
    <row r="241" spans="1:6">
      <c r="A241" t="s">
        <v>159</v>
      </c>
      <c r="B241" t="s">
        <v>468</v>
      </c>
      <c r="C241" t="s">
        <v>469</v>
      </c>
      <c r="D241" s="1">
        <v>46167</v>
      </c>
      <c r="E241">
        <v>51875.72</v>
      </c>
      <c r="F241" t="s">
        <v>9</v>
      </c>
    </row>
    <row r="242" spans="1:6">
      <c r="A242" t="s">
        <v>159</v>
      </c>
      <c r="B242" t="s">
        <v>470</v>
      </c>
      <c r="C242" t="s">
        <v>471</v>
      </c>
      <c r="D242" s="1">
        <v>46167</v>
      </c>
      <c r="E242">
        <v>215699.62</v>
      </c>
      <c r="F242" t="s">
        <v>9</v>
      </c>
    </row>
    <row r="243" spans="1:6">
      <c r="A243" t="s">
        <v>159</v>
      </c>
      <c r="B243" t="s">
        <v>472</v>
      </c>
      <c r="C243" t="s">
        <v>473</v>
      </c>
      <c r="D243" s="1">
        <v>46167</v>
      </c>
      <c r="E243">
        <v>419736.35</v>
      </c>
      <c r="F243" t="s">
        <v>16</v>
      </c>
    </row>
    <row r="244" spans="1:6">
      <c r="A244" t="s">
        <v>159</v>
      </c>
      <c r="B244" t="s">
        <v>474</v>
      </c>
      <c r="C244" t="s">
        <v>475</v>
      </c>
      <c r="D244" s="1">
        <v>46167</v>
      </c>
      <c r="E244">
        <v>9796.35</v>
      </c>
      <c r="F244" t="s">
        <v>16</v>
      </c>
    </row>
    <row r="245" spans="1:6">
      <c r="A245" t="s">
        <v>159</v>
      </c>
      <c r="B245" t="s">
        <v>476</v>
      </c>
      <c r="C245" t="s">
        <v>477</v>
      </c>
      <c r="D245" s="1">
        <v>46167</v>
      </c>
      <c r="E245">
        <v>16946.830000000002</v>
      </c>
      <c r="F245" t="s">
        <v>9</v>
      </c>
    </row>
    <row r="246" spans="1:6">
      <c r="A246" t="s">
        <v>159</v>
      </c>
      <c r="B246" t="s">
        <v>478</v>
      </c>
      <c r="C246" t="s">
        <v>479</v>
      </c>
      <c r="D246" s="1">
        <v>46167</v>
      </c>
      <c r="E246">
        <v>7367.96</v>
      </c>
      <c r="F246" t="s">
        <v>16</v>
      </c>
    </row>
    <row r="247" spans="1:6">
      <c r="A247" t="s">
        <v>159</v>
      </c>
      <c r="B247" t="s">
        <v>480</v>
      </c>
      <c r="C247" t="s">
        <v>481</v>
      </c>
      <c r="D247" s="1">
        <v>46168</v>
      </c>
      <c r="E247">
        <v>125198.45</v>
      </c>
      <c r="F247" t="s">
        <v>9</v>
      </c>
    </row>
    <row r="248" spans="1:6">
      <c r="A248" t="s">
        <v>159</v>
      </c>
      <c r="B248" t="s">
        <v>482</v>
      </c>
      <c r="C248" t="s">
        <v>483</v>
      </c>
      <c r="D248" s="1">
        <v>46168</v>
      </c>
      <c r="E248">
        <v>223696.11</v>
      </c>
      <c r="F248" t="s">
        <v>26</v>
      </c>
    </row>
    <row r="249" spans="1:6">
      <c r="A249" t="s">
        <v>159</v>
      </c>
      <c r="B249" t="s">
        <v>484</v>
      </c>
      <c r="C249" t="s">
        <v>485</v>
      </c>
      <c r="D249" s="1">
        <v>46168</v>
      </c>
      <c r="E249">
        <v>131799.94</v>
      </c>
      <c r="F249" t="s">
        <v>9</v>
      </c>
    </row>
    <row r="250" spans="1:6">
      <c r="A250" t="s">
        <v>159</v>
      </c>
      <c r="B250" t="s">
        <v>486</v>
      </c>
      <c r="C250" t="s">
        <v>288</v>
      </c>
      <c r="D250" s="1">
        <v>46168</v>
      </c>
      <c r="E250">
        <v>130158.89</v>
      </c>
      <c r="F250" t="s">
        <v>9</v>
      </c>
    </row>
    <row r="251" spans="1:6">
      <c r="A251" t="s">
        <v>159</v>
      </c>
      <c r="B251" t="s">
        <v>487</v>
      </c>
      <c r="C251" t="s">
        <v>488</v>
      </c>
      <c r="D251" s="1">
        <v>46168</v>
      </c>
      <c r="E251">
        <v>109921.3</v>
      </c>
      <c r="F251" t="s">
        <v>9</v>
      </c>
    </row>
    <row r="252" spans="1:6">
      <c r="A252" t="s">
        <v>159</v>
      </c>
      <c r="B252" t="s">
        <v>489</v>
      </c>
      <c r="C252" t="s">
        <v>490</v>
      </c>
      <c r="D252" s="1">
        <v>46168</v>
      </c>
      <c r="E252">
        <v>7653.42</v>
      </c>
      <c r="F252" t="s">
        <v>26</v>
      </c>
    </row>
    <row r="253" spans="1:6">
      <c r="A253" t="s">
        <v>159</v>
      </c>
      <c r="B253" t="s">
        <v>491</v>
      </c>
      <c r="C253" t="s">
        <v>492</v>
      </c>
      <c r="D253" s="1">
        <v>46168</v>
      </c>
      <c r="E253">
        <v>325077.46999999997</v>
      </c>
      <c r="F253" t="s">
        <v>26</v>
      </c>
    </row>
    <row r="254" spans="1:6">
      <c r="A254" t="s">
        <v>159</v>
      </c>
      <c r="B254" t="s">
        <v>493</v>
      </c>
      <c r="C254" t="s">
        <v>479</v>
      </c>
      <c r="D254" s="1">
        <v>46168</v>
      </c>
      <c r="E254">
        <v>9029.11</v>
      </c>
      <c r="F254" t="s">
        <v>16</v>
      </c>
    </row>
    <row r="255" spans="1:6">
      <c r="A255" t="s">
        <v>159</v>
      </c>
      <c r="B255" t="s">
        <v>494</v>
      </c>
      <c r="C255" t="s">
        <v>495</v>
      </c>
      <c r="D255" s="1">
        <v>46169</v>
      </c>
      <c r="E255">
        <v>1557510.67</v>
      </c>
      <c r="F255" t="s">
        <v>26</v>
      </c>
    </row>
    <row r="256" spans="1:6">
      <c r="A256" t="s">
        <v>159</v>
      </c>
      <c r="B256" t="s">
        <v>496</v>
      </c>
      <c r="C256" t="s">
        <v>497</v>
      </c>
      <c r="D256" s="1">
        <v>46169</v>
      </c>
      <c r="E256">
        <v>12078.35</v>
      </c>
      <c r="F256" t="s">
        <v>9</v>
      </c>
    </row>
    <row r="257" spans="1:6">
      <c r="A257" t="s">
        <v>159</v>
      </c>
      <c r="B257" t="s">
        <v>498</v>
      </c>
      <c r="C257" t="s">
        <v>317</v>
      </c>
      <c r="D257" s="1">
        <v>46169</v>
      </c>
      <c r="E257">
        <v>85147.16</v>
      </c>
      <c r="F257" t="s">
        <v>9</v>
      </c>
    </row>
    <row r="258" spans="1:6">
      <c r="A258" t="s">
        <v>159</v>
      </c>
      <c r="B258" t="s">
        <v>499</v>
      </c>
      <c r="C258" t="s">
        <v>500</v>
      </c>
      <c r="D258" s="1">
        <v>46169</v>
      </c>
      <c r="E258">
        <v>41158.97</v>
      </c>
      <c r="F258" t="s">
        <v>9</v>
      </c>
    </row>
    <row r="259" spans="1:6">
      <c r="A259" t="s">
        <v>159</v>
      </c>
      <c r="B259" t="s">
        <v>501</v>
      </c>
      <c r="C259" t="s">
        <v>298</v>
      </c>
      <c r="D259" s="1">
        <v>46169</v>
      </c>
      <c r="E259">
        <v>93074.52</v>
      </c>
      <c r="F259" t="s">
        <v>26</v>
      </c>
    </row>
    <row r="260" spans="1:6">
      <c r="A260" t="s">
        <v>159</v>
      </c>
      <c r="B260" t="s">
        <v>502</v>
      </c>
      <c r="C260" t="s">
        <v>503</v>
      </c>
      <c r="D260" s="1">
        <v>46169</v>
      </c>
      <c r="E260">
        <v>15627.76</v>
      </c>
      <c r="F260" t="s">
        <v>9</v>
      </c>
    </row>
    <row r="261" spans="1:6">
      <c r="A261" t="s">
        <v>159</v>
      </c>
      <c r="B261" t="s">
        <v>504</v>
      </c>
      <c r="C261" t="s">
        <v>505</v>
      </c>
      <c r="D261" s="1">
        <v>46169</v>
      </c>
      <c r="E261">
        <v>5000</v>
      </c>
      <c r="F261" t="s">
        <v>9</v>
      </c>
    </row>
    <row r="262" spans="1:6">
      <c r="A262" t="s">
        <v>159</v>
      </c>
      <c r="B262" t="s">
        <v>506</v>
      </c>
      <c r="C262" t="s">
        <v>507</v>
      </c>
      <c r="D262" s="1">
        <v>46169</v>
      </c>
      <c r="E262">
        <v>26833.61</v>
      </c>
      <c r="F262" t="s">
        <v>9</v>
      </c>
    </row>
    <row r="263" spans="1:6">
      <c r="A263" t="s">
        <v>159</v>
      </c>
      <c r="B263" t="s">
        <v>508</v>
      </c>
      <c r="C263" t="s">
        <v>415</v>
      </c>
      <c r="D263" s="1">
        <v>46169</v>
      </c>
      <c r="E263">
        <v>49910.51</v>
      </c>
      <c r="F263" t="s">
        <v>16</v>
      </c>
    </row>
    <row r="264" spans="1:6">
      <c r="A264" t="s">
        <v>159</v>
      </c>
      <c r="B264" t="s">
        <v>509</v>
      </c>
      <c r="C264" t="s">
        <v>510</v>
      </c>
      <c r="D264" s="1">
        <v>46169</v>
      </c>
      <c r="E264">
        <v>38764.53</v>
      </c>
      <c r="F264" t="s">
        <v>26</v>
      </c>
    </row>
    <row r="265" spans="1:6">
      <c r="A265" t="s">
        <v>159</v>
      </c>
      <c r="B265" t="s">
        <v>511</v>
      </c>
      <c r="C265" t="s">
        <v>512</v>
      </c>
      <c r="D265" s="1">
        <v>46170</v>
      </c>
      <c r="E265">
        <v>54158.55</v>
      </c>
      <c r="F265" t="s">
        <v>9</v>
      </c>
    </row>
    <row r="266" spans="1:6">
      <c r="A266" t="s">
        <v>159</v>
      </c>
      <c r="B266" t="s">
        <v>513</v>
      </c>
      <c r="C266" t="s">
        <v>214</v>
      </c>
      <c r="D266" s="1">
        <v>46170</v>
      </c>
      <c r="E266">
        <v>21984.39</v>
      </c>
      <c r="F266" t="s">
        <v>16</v>
      </c>
    </row>
    <row r="267" spans="1:6">
      <c r="A267" t="s">
        <v>159</v>
      </c>
      <c r="B267" t="s">
        <v>514</v>
      </c>
      <c r="C267" t="s">
        <v>321</v>
      </c>
      <c r="D267" s="1">
        <v>46170</v>
      </c>
      <c r="E267">
        <v>1127.21</v>
      </c>
      <c r="F267" t="s">
        <v>26</v>
      </c>
    </row>
    <row r="268" spans="1:6">
      <c r="A268" t="s">
        <v>159</v>
      </c>
      <c r="B268" t="s">
        <v>515</v>
      </c>
      <c r="C268" t="s">
        <v>252</v>
      </c>
      <c r="D268" s="1">
        <v>46170</v>
      </c>
      <c r="E268">
        <v>3521.64</v>
      </c>
      <c r="F268" t="s">
        <v>26</v>
      </c>
    </row>
    <row r="269" spans="1:6">
      <c r="A269" t="s">
        <v>159</v>
      </c>
      <c r="B269" t="s">
        <v>516</v>
      </c>
      <c r="C269" t="s">
        <v>517</v>
      </c>
      <c r="D269" s="1">
        <v>46170</v>
      </c>
      <c r="E269">
        <v>625108.14</v>
      </c>
      <c r="F269" t="s">
        <v>9</v>
      </c>
    </row>
    <row r="270" spans="1:6">
      <c r="A270" t="s">
        <v>159</v>
      </c>
      <c r="B270" t="s">
        <v>518</v>
      </c>
      <c r="C270" t="s">
        <v>519</v>
      </c>
      <c r="D270" s="1">
        <v>46170</v>
      </c>
      <c r="E270">
        <v>243616.13</v>
      </c>
      <c r="F270" t="s">
        <v>16</v>
      </c>
    </row>
    <row r="271" spans="1:6">
      <c r="A271" t="s">
        <v>159</v>
      </c>
      <c r="B271" t="s">
        <v>520</v>
      </c>
      <c r="C271" t="s">
        <v>521</v>
      </c>
      <c r="D271" s="1">
        <v>46170</v>
      </c>
      <c r="E271">
        <v>18097.93</v>
      </c>
      <c r="F271" t="s">
        <v>9</v>
      </c>
    </row>
    <row r="272" spans="1:6">
      <c r="A272" t="s">
        <v>159</v>
      </c>
      <c r="B272" t="s">
        <v>522</v>
      </c>
      <c r="C272" t="s">
        <v>523</v>
      </c>
      <c r="D272" s="1">
        <v>46171</v>
      </c>
      <c r="E272">
        <v>101661.84</v>
      </c>
      <c r="F272" t="s">
        <v>16</v>
      </c>
    </row>
    <row r="273" spans="1:6">
      <c r="A273" t="s">
        <v>159</v>
      </c>
      <c r="B273" t="s">
        <v>524</v>
      </c>
      <c r="C273" t="s">
        <v>321</v>
      </c>
      <c r="D273" s="1">
        <v>46171</v>
      </c>
      <c r="E273">
        <v>1176.8</v>
      </c>
      <c r="F273" t="s">
        <v>9</v>
      </c>
    </row>
    <row r="274" spans="1:6">
      <c r="A274" t="s">
        <v>159</v>
      </c>
      <c r="B274" t="s">
        <v>525</v>
      </c>
      <c r="C274" t="s">
        <v>526</v>
      </c>
      <c r="D274" s="1">
        <v>46171</v>
      </c>
      <c r="E274">
        <v>226820.5</v>
      </c>
      <c r="F274" t="s">
        <v>9</v>
      </c>
    </row>
    <row r="275" spans="1:6">
      <c r="A275" t="s">
        <v>159</v>
      </c>
      <c r="B275" t="s">
        <v>527</v>
      </c>
      <c r="C275" t="s">
        <v>528</v>
      </c>
      <c r="D275" s="1">
        <v>46171</v>
      </c>
      <c r="E275">
        <v>46988.3</v>
      </c>
      <c r="F275" t="s">
        <v>26</v>
      </c>
    </row>
    <row r="276" spans="1:6">
      <c r="A276" t="s">
        <v>159</v>
      </c>
      <c r="B276" t="s">
        <v>529</v>
      </c>
      <c r="C276" t="s">
        <v>530</v>
      </c>
      <c r="D276" s="1">
        <v>46171</v>
      </c>
      <c r="E276">
        <v>225375.78</v>
      </c>
      <c r="F276" t="s">
        <v>26</v>
      </c>
    </row>
    <row r="277" spans="1:6">
      <c r="A277" t="s">
        <v>159</v>
      </c>
      <c r="B277" t="s">
        <v>531</v>
      </c>
      <c r="C277" t="s">
        <v>292</v>
      </c>
      <c r="D277" s="1">
        <v>46171</v>
      </c>
      <c r="E277">
        <v>28112.38</v>
      </c>
      <c r="F277" t="s">
        <v>26</v>
      </c>
    </row>
    <row r="278" spans="1:6">
      <c r="A278" t="s">
        <v>159</v>
      </c>
      <c r="B278" t="s">
        <v>532</v>
      </c>
      <c r="C278" t="s">
        <v>533</v>
      </c>
      <c r="D278" s="1">
        <v>46171</v>
      </c>
      <c r="E278">
        <v>609840.86</v>
      </c>
      <c r="F278" t="s">
        <v>16</v>
      </c>
    </row>
    <row r="279" spans="1:6">
      <c r="A279" t="s">
        <v>159</v>
      </c>
      <c r="B279" t="s">
        <v>534</v>
      </c>
      <c r="C279" t="s">
        <v>535</v>
      </c>
      <c r="D279" s="1">
        <v>46171</v>
      </c>
      <c r="E279">
        <v>37323.97</v>
      </c>
      <c r="F279" t="s">
        <v>16</v>
      </c>
    </row>
    <row r="280" spans="1:6">
      <c r="A280" t="s">
        <v>159</v>
      </c>
      <c r="B280" t="s">
        <v>536</v>
      </c>
      <c r="C280" t="s">
        <v>537</v>
      </c>
      <c r="D280" s="1">
        <v>46172</v>
      </c>
      <c r="E280">
        <v>522811.22</v>
      </c>
      <c r="F280" t="s">
        <v>26</v>
      </c>
    </row>
    <row r="281" spans="1:6">
      <c r="A281" t="s">
        <v>159</v>
      </c>
      <c r="B281" t="s">
        <v>538</v>
      </c>
      <c r="C281" t="s">
        <v>539</v>
      </c>
      <c r="D281" s="1">
        <v>46172</v>
      </c>
      <c r="E281">
        <v>17793.82</v>
      </c>
      <c r="F281" t="s">
        <v>9</v>
      </c>
    </row>
    <row r="282" spans="1:6">
      <c r="A282" t="s">
        <v>159</v>
      </c>
      <c r="B282" t="s">
        <v>540</v>
      </c>
      <c r="C282" t="s">
        <v>347</v>
      </c>
      <c r="D282" s="1">
        <v>46172</v>
      </c>
      <c r="E282">
        <v>370585.16</v>
      </c>
      <c r="F282" t="s">
        <v>26</v>
      </c>
    </row>
    <row r="283" spans="1:6">
      <c r="A283" t="s">
        <v>159</v>
      </c>
      <c r="B283" t="s">
        <v>541</v>
      </c>
      <c r="C283" t="s">
        <v>542</v>
      </c>
      <c r="D283" s="1">
        <v>46172</v>
      </c>
      <c r="E283">
        <v>147261.79</v>
      </c>
      <c r="F283" t="s">
        <v>9</v>
      </c>
    </row>
    <row r="284" spans="1:6">
      <c r="A284" t="s">
        <v>159</v>
      </c>
      <c r="B284" t="s">
        <v>543</v>
      </c>
      <c r="C284" t="s">
        <v>544</v>
      </c>
      <c r="D284" s="1">
        <v>46172</v>
      </c>
      <c r="E284">
        <v>19050.169999999998</v>
      </c>
      <c r="F284" t="s">
        <v>16</v>
      </c>
    </row>
    <row r="285" spans="1:6">
      <c r="A285" t="s">
        <v>159</v>
      </c>
      <c r="B285" t="s">
        <v>545</v>
      </c>
      <c r="C285" t="s">
        <v>546</v>
      </c>
      <c r="D285" s="1">
        <v>46172</v>
      </c>
      <c r="E285">
        <v>58690.27</v>
      </c>
      <c r="F285" t="s">
        <v>9</v>
      </c>
    </row>
    <row r="286" spans="1:6">
      <c r="A286" t="s">
        <v>159</v>
      </c>
      <c r="B286" t="s">
        <v>547</v>
      </c>
      <c r="C286" t="s">
        <v>548</v>
      </c>
      <c r="D286" s="1">
        <v>46172</v>
      </c>
      <c r="E286">
        <v>24759.01</v>
      </c>
      <c r="F286" t="s">
        <v>9</v>
      </c>
    </row>
    <row r="287" spans="1:6">
      <c r="A287" t="s">
        <v>159</v>
      </c>
      <c r="B287" t="s">
        <v>549</v>
      </c>
      <c r="C287" t="s">
        <v>161</v>
      </c>
      <c r="D287" s="1">
        <v>46173</v>
      </c>
      <c r="E287">
        <v>227135.03</v>
      </c>
      <c r="F287" t="s">
        <v>26</v>
      </c>
    </row>
    <row r="288" spans="1:6">
      <c r="A288" t="s">
        <v>159</v>
      </c>
      <c r="B288" t="s">
        <v>550</v>
      </c>
      <c r="C288" t="s">
        <v>551</v>
      </c>
      <c r="D288" s="1">
        <v>46173</v>
      </c>
      <c r="E288">
        <v>488192.55</v>
      </c>
      <c r="F288" t="s">
        <v>9</v>
      </c>
    </row>
    <row r="289" spans="1:6">
      <c r="A289" t="s">
        <v>159</v>
      </c>
      <c r="B289" t="s">
        <v>552</v>
      </c>
      <c r="C289" t="s">
        <v>553</v>
      </c>
      <c r="D289" s="1">
        <v>46173</v>
      </c>
      <c r="E289">
        <v>229366.23</v>
      </c>
      <c r="F289" t="s">
        <v>9</v>
      </c>
    </row>
    <row r="290" spans="1:6">
      <c r="A290" t="s">
        <v>159</v>
      </c>
      <c r="B290" t="s">
        <v>554</v>
      </c>
      <c r="C290" t="s">
        <v>555</v>
      </c>
      <c r="D290" s="1">
        <v>46173</v>
      </c>
      <c r="E290">
        <v>16452.52</v>
      </c>
      <c r="F290" t="s">
        <v>16</v>
      </c>
    </row>
    <row r="291" spans="1:6">
      <c r="A291" t="s">
        <v>159</v>
      </c>
      <c r="B291" t="s">
        <v>556</v>
      </c>
      <c r="C291" t="s">
        <v>557</v>
      </c>
      <c r="D291" s="1">
        <v>46173</v>
      </c>
      <c r="E291">
        <v>411018.77</v>
      </c>
      <c r="F291" t="s">
        <v>16</v>
      </c>
    </row>
    <row r="292" spans="1:6">
      <c r="A292" t="s">
        <v>159</v>
      </c>
      <c r="B292" t="s">
        <v>558</v>
      </c>
      <c r="C292" t="s">
        <v>559</v>
      </c>
      <c r="D292" s="1">
        <v>46173</v>
      </c>
      <c r="E292">
        <v>218343.87</v>
      </c>
      <c r="F292" t="s">
        <v>9</v>
      </c>
    </row>
    <row r="293" spans="1:6">
      <c r="A293" t="s">
        <v>159</v>
      </c>
      <c r="B293" t="s">
        <v>560</v>
      </c>
      <c r="C293" t="s">
        <v>561</v>
      </c>
      <c r="D293" s="1">
        <v>46173</v>
      </c>
      <c r="E293">
        <v>176950.66</v>
      </c>
      <c r="F293" t="s">
        <v>16</v>
      </c>
    </row>
    <row r="294" spans="1:6">
      <c r="A294" t="s">
        <v>159</v>
      </c>
      <c r="B294" t="s">
        <v>562</v>
      </c>
      <c r="C294" t="s">
        <v>563</v>
      </c>
      <c r="D294" s="1">
        <v>46173</v>
      </c>
      <c r="E294">
        <v>78205.259999999995</v>
      </c>
      <c r="F294" t="s">
        <v>26</v>
      </c>
    </row>
    <row r="295" spans="1:6">
      <c r="A295" t="s">
        <v>159</v>
      </c>
      <c r="B295" t="s">
        <v>564</v>
      </c>
      <c r="C295" t="s">
        <v>404</v>
      </c>
      <c r="D295" s="1">
        <v>46173</v>
      </c>
      <c r="E295">
        <v>201069.05</v>
      </c>
      <c r="F295" t="s">
        <v>26</v>
      </c>
    </row>
    <row r="296" spans="1:6">
      <c r="A296" t="s">
        <v>159</v>
      </c>
      <c r="B296" t="s">
        <v>565</v>
      </c>
      <c r="C296" t="s">
        <v>566</v>
      </c>
      <c r="D296" s="1">
        <v>46173</v>
      </c>
      <c r="E296">
        <v>506419.23</v>
      </c>
      <c r="F296" t="s">
        <v>16</v>
      </c>
    </row>
    <row r="297" spans="1:6">
      <c r="A297" t="s">
        <v>159</v>
      </c>
      <c r="B297" t="s">
        <v>567</v>
      </c>
      <c r="C297" t="s">
        <v>568</v>
      </c>
      <c r="D297" s="1">
        <v>46173</v>
      </c>
      <c r="E297">
        <v>28530.01</v>
      </c>
      <c r="F297" t="s">
        <v>9</v>
      </c>
    </row>
    <row r="298" spans="1:6">
      <c r="A298" t="s">
        <v>159</v>
      </c>
      <c r="B298" t="s">
        <v>569</v>
      </c>
      <c r="C298" t="s">
        <v>570</v>
      </c>
      <c r="D298" s="1">
        <v>46173</v>
      </c>
      <c r="E298">
        <v>140163.21</v>
      </c>
      <c r="F298" t="s">
        <v>26</v>
      </c>
    </row>
    <row r="299" spans="1:6">
      <c r="A299" t="s">
        <v>159</v>
      </c>
      <c r="B299" t="s">
        <v>571</v>
      </c>
      <c r="C299" t="s">
        <v>572</v>
      </c>
      <c r="D299" s="1">
        <v>46163</v>
      </c>
      <c r="E299">
        <v>68309.67</v>
      </c>
      <c r="F299" t="s">
        <v>9</v>
      </c>
    </row>
    <row r="300" spans="1:6">
      <c r="A300" t="s">
        <v>573</v>
      </c>
      <c r="B300" t="s">
        <v>574</v>
      </c>
      <c r="C300" t="s">
        <v>575</v>
      </c>
      <c r="D300" s="1">
        <v>46174</v>
      </c>
      <c r="E300">
        <v>585486.89</v>
      </c>
      <c r="F300" t="s">
        <v>9</v>
      </c>
    </row>
    <row r="301" spans="1:6">
      <c r="A301" t="s">
        <v>573</v>
      </c>
      <c r="B301" t="s">
        <v>576</v>
      </c>
      <c r="C301" t="s">
        <v>577</v>
      </c>
      <c r="D301" s="1">
        <v>46174</v>
      </c>
      <c r="E301">
        <v>211158.1</v>
      </c>
      <c r="F301" t="s">
        <v>9</v>
      </c>
    </row>
    <row r="302" spans="1:6">
      <c r="A302" t="s">
        <v>573</v>
      </c>
      <c r="B302" t="s">
        <v>578</v>
      </c>
      <c r="C302" t="s">
        <v>579</v>
      </c>
      <c r="D302" s="1">
        <v>46174</v>
      </c>
      <c r="E302">
        <v>98827.04</v>
      </c>
      <c r="F302" t="s">
        <v>9</v>
      </c>
    </row>
    <row r="303" spans="1:6">
      <c r="A303" t="s">
        <v>573</v>
      </c>
      <c r="B303" t="s">
        <v>580</v>
      </c>
      <c r="C303" t="s">
        <v>581</v>
      </c>
      <c r="D303" s="1">
        <v>46174</v>
      </c>
      <c r="E303">
        <v>122450.14</v>
      </c>
      <c r="F303" t="s">
        <v>16</v>
      </c>
    </row>
    <row r="304" spans="1:6">
      <c r="A304" t="s">
        <v>573</v>
      </c>
      <c r="B304" t="s">
        <v>582</v>
      </c>
      <c r="C304" t="s">
        <v>497</v>
      </c>
      <c r="D304" s="1">
        <v>46174</v>
      </c>
      <c r="E304">
        <v>27784.28</v>
      </c>
      <c r="F304" t="s">
        <v>9</v>
      </c>
    </row>
    <row r="305" spans="1:6">
      <c r="A305" t="s">
        <v>573</v>
      </c>
      <c r="B305" t="s">
        <v>583</v>
      </c>
      <c r="C305" t="s">
        <v>584</v>
      </c>
      <c r="D305" s="1">
        <v>46174</v>
      </c>
      <c r="E305">
        <v>30601.48</v>
      </c>
      <c r="F305" t="s">
        <v>9</v>
      </c>
    </row>
    <row r="306" spans="1:6">
      <c r="A306" t="s">
        <v>573</v>
      </c>
      <c r="B306" t="s">
        <v>585</v>
      </c>
      <c r="C306" t="s">
        <v>586</v>
      </c>
      <c r="D306" s="1">
        <v>46174</v>
      </c>
      <c r="E306">
        <v>108277.02</v>
      </c>
      <c r="F306" t="s">
        <v>9</v>
      </c>
    </row>
    <row r="307" spans="1:6">
      <c r="A307" t="s">
        <v>573</v>
      </c>
      <c r="B307" t="s">
        <v>587</v>
      </c>
      <c r="C307" t="s">
        <v>588</v>
      </c>
      <c r="D307" s="1">
        <v>46174</v>
      </c>
      <c r="E307">
        <v>711380.09</v>
      </c>
      <c r="F307" t="s">
        <v>16</v>
      </c>
    </row>
    <row r="308" spans="1:6">
      <c r="A308" t="s">
        <v>573</v>
      </c>
      <c r="B308" t="s">
        <v>589</v>
      </c>
      <c r="C308" t="s">
        <v>590</v>
      </c>
      <c r="D308" s="1">
        <v>46174</v>
      </c>
      <c r="E308">
        <v>21842.2</v>
      </c>
      <c r="F308" t="s">
        <v>9</v>
      </c>
    </row>
    <row r="309" spans="1:6">
      <c r="A309" t="s">
        <v>573</v>
      </c>
      <c r="B309" t="s">
        <v>591</v>
      </c>
      <c r="C309" t="s">
        <v>592</v>
      </c>
      <c r="D309" s="1">
        <v>46174</v>
      </c>
      <c r="E309">
        <v>5803.33</v>
      </c>
      <c r="F309" t="s">
        <v>16</v>
      </c>
    </row>
    <row r="310" spans="1:6">
      <c r="A310" t="s">
        <v>573</v>
      </c>
      <c r="B310" t="s">
        <v>593</v>
      </c>
      <c r="C310" t="s">
        <v>594</v>
      </c>
      <c r="D310" s="1">
        <v>46175</v>
      </c>
      <c r="E310">
        <v>36439.1</v>
      </c>
      <c r="F310" t="s">
        <v>9</v>
      </c>
    </row>
    <row r="311" spans="1:6">
      <c r="A311" t="s">
        <v>573</v>
      </c>
      <c r="B311" t="s">
        <v>595</v>
      </c>
      <c r="C311" t="s">
        <v>386</v>
      </c>
      <c r="D311" s="1">
        <v>46175</v>
      </c>
      <c r="E311">
        <v>89202.31</v>
      </c>
      <c r="F311" t="s">
        <v>26</v>
      </c>
    </row>
    <row r="312" spans="1:6">
      <c r="A312" t="s">
        <v>573</v>
      </c>
      <c r="B312" t="s">
        <v>596</v>
      </c>
      <c r="C312" t="s">
        <v>597</v>
      </c>
      <c r="D312" s="1">
        <v>46175</v>
      </c>
      <c r="E312">
        <v>13268</v>
      </c>
      <c r="F312" t="s">
        <v>9</v>
      </c>
    </row>
    <row r="313" spans="1:6">
      <c r="A313" t="s">
        <v>573</v>
      </c>
      <c r="B313" t="s">
        <v>598</v>
      </c>
      <c r="C313" t="s">
        <v>599</v>
      </c>
      <c r="D313" s="1">
        <v>46175</v>
      </c>
      <c r="E313">
        <v>54964</v>
      </c>
      <c r="F313" t="s">
        <v>9</v>
      </c>
    </row>
    <row r="314" spans="1:6">
      <c r="A314" t="s">
        <v>573</v>
      </c>
      <c r="B314" t="s">
        <v>600</v>
      </c>
      <c r="C314" t="s">
        <v>601</v>
      </c>
      <c r="D314" s="1">
        <v>46175</v>
      </c>
      <c r="E314">
        <v>87605.84</v>
      </c>
      <c r="F314" t="s">
        <v>9</v>
      </c>
    </row>
    <row r="315" spans="1:6">
      <c r="A315" t="s">
        <v>573</v>
      </c>
      <c r="B315" t="s">
        <v>602</v>
      </c>
      <c r="C315" t="s">
        <v>603</v>
      </c>
      <c r="D315" s="1">
        <v>46175</v>
      </c>
      <c r="E315">
        <v>9196.1</v>
      </c>
      <c r="F315" t="s">
        <v>26</v>
      </c>
    </row>
    <row r="316" spans="1:6">
      <c r="A316" t="s">
        <v>573</v>
      </c>
      <c r="B316" t="s">
        <v>604</v>
      </c>
      <c r="C316" t="s">
        <v>605</v>
      </c>
      <c r="D316" s="1">
        <v>46175</v>
      </c>
      <c r="E316">
        <v>41256.92</v>
      </c>
      <c r="F316" t="s">
        <v>16</v>
      </c>
    </row>
    <row r="317" spans="1:6">
      <c r="A317" t="s">
        <v>573</v>
      </c>
      <c r="B317" t="s">
        <v>606</v>
      </c>
      <c r="C317" t="s">
        <v>607</v>
      </c>
      <c r="D317" s="1">
        <v>46175</v>
      </c>
      <c r="E317">
        <v>72866.47</v>
      </c>
      <c r="F317" t="s">
        <v>9</v>
      </c>
    </row>
    <row r="318" spans="1:6">
      <c r="A318" t="s">
        <v>573</v>
      </c>
      <c r="B318" t="s">
        <v>608</v>
      </c>
      <c r="C318" t="s">
        <v>319</v>
      </c>
      <c r="D318" s="1">
        <v>46176</v>
      </c>
      <c r="E318">
        <v>2437.17</v>
      </c>
      <c r="F318" t="s">
        <v>9</v>
      </c>
    </row>
    <row r="319" spans="1:6">
      <c r="A319" t="s">
        <v>573</v>
      </c>
      <c r="B319" t="s">
        <v>609</v>
      </c>
      <c r="C319" t="s">
        <v>18</v>
      </c>
      <c r="D319" s="1">
        <v>46176</v>
      </c>
      <c r="E319">
        <v>109311.9</v>
      </c>
      <c r="F319" t="s">
        <v>16</v>
      </c>
    </row>
    <row r="320" spans="1:6">
      <c r="A320" t="s">
        <v>573</v>
      </c>
      <c r="B320" t="s">
        <v>610</v>
      </c>
      <c r="C320" t="s">
        <v>179</v>
      </c>
      <c r="D320" s="1">
        <v>46176</v>
      </c>
      <c r="E320">
        <v>9816.93</v>
      </c>
      <c r="F320" t="s">
        <v>16</v>
      </c>
    </row>
    <row r="321" spans="1:6">
      <c r="A321" t="s">
        <v>573</v>
      </c>
      <c r="B321" t="s">
        <v>611</v>
      </c>
      <c r="C321" t="s">
        <v>612</v>
      </c>
      <c r="D321" s="1">
        <v>46176</v>
      </c>
      <c r="E321">
        <v>223035.19</v>
      </c>
      <c r="F321" t="s">
        <v>9</v>
      </c>
    </row>
    <row r="322" spans="1:6">
      <c r="A322" t="s">
        <v>573</v>
      </c>
      <c r="B322" t="s">
        <v>613</v>
      </c>
      <c r="C322" t="s">
        <v>614</v>
      </c>
      <c r="D322" s="1">
        <v>46176</v>
      </c>
      <c r="E322">
        <v>336349.29</v>
      </c>
      <c r="F322" t="s">
        <v>9</v>
      </c>
    </row>
    <row r="323" spans="1:6">
      <c r="A323" t="s">
        <v>573</v>
      </c>
      <c r="B323" t="s">
        <v>615</v>
      </c>
      <c r="C323" t="s">
        <v>616</v>
      </c>
      <c r="D323" s="1">
        <v>46176</v>
      </c>
      <c r="E323">
        <v>203039.86</v>
      </c>
      <c r="F323" t="s">
        <v>26</v>
      </c>
    </row>
    <row r="324" spans="1:6">
      <c r="A324" t="s">
        <v>573</v>
      </c>
      <c r="B324" t="s">
        <v>617</v>
      </c>
      <c r="C324" t="s">
        <v>618</v>
      </c>
      <c r="D324" s="1">
        <v>46176</v>
      </c>
      <c r="E324">
        <v>16221.98</v>
      </c>
      <c r="F324" t="s">
        <v>16</v>
      </c>
    </row>
    <row r="325" spans="1:6">
      <c r="A325" t="s">
        <v>573</v>
      </c>
      <c r="B325" t="s">
        <v>619</v>
      </c>
      <c r="C325" t="s">
        <v>620</v>
      </c>
      <c r="D325" s="1">
        <v>46176</v>
      </c>
      <c r="E325">
        <v>38153.14</v>
      </c>
      <c r="F325" t="s">
        <v>16</v>
      </c>
    </row>
    <row r="326" spans="1:6">
      <c r="A326" t="s">
        <v>573</v>
      </c>
      <c r="B326" t="s">
        <v>621</v>
      </c>
      <c r="C326" t="s">
        <v>622</v>
      </c>
      <c r="D326" s="1">
        <v>46176</v>
      </c>
      <c r="E326">
        <v>88761.600000000006</v>
      </c>
      <c r="F326" t="s">
        <v>9</v>
      </c>
    </row>
    <row r="327" spans="1:6">
      <c r="A327" t="s">
        <v>573</v>
      </c>
      <c r="B327" t="s">
        <v>623</v>
      </c>
      <c r="C327" t="s">
        <v>624</v>
      </c>
      <c r="D327" s="1">
        <v>46176</v>
      </c>
      <c r="E327">
        <v>7074.74</v>
      </c>
      <c r="F327" t="s">
        <v>9</v>
      </c>
    </row>
    <row r="328" spans="1:6">
      <c r="A328" t="s">
        <v>573</v>
      </c>
      <c r="B328" t="s">
        <v>625</v>
      </c>
      <c r="C328" t="s">
        <v>626</v>
      </c>
      <c r="D328" s="1">
        <v>46176</v>
      </c>
      <c r="E328">
        <v>19898.36</v>
      </c>
      <c r="F328" t="s">
        <v>9</v>
      </c>
    </row>
    <row r="329" spans="1:6">
      <c r="A329" t="s">
        <v>573</v>
      </c>
      <c r="B329" t="s">
        <v>627</v>
      </c>
      <c r="C329" t="s">
        <v>628</v>
      </c>
      <c r="D329" s="1">
        <v>46177</v>
      </c>
      <c r="E329">
        <v>33835.75</v>
      </c>
      <c r="F329" t="s">
        <v>16</v>
      </c>
    </row>
    <row r="330" spans="1:6">
      <c r="A330" t="s">
        <v>573</v>
      </c>
      <c r="B330" t="s">
        <v>629</v>
      </c>
      <c r="C330" t="s">
        <v>63</v>
      </c>
      <c r="D330" s="1">
        <v>46177</v>
      </c>
      <c r="E330">
        <v>173323.22</v>
      </c>
      <c r="F330" t="s">
        <v>26</v>
      </c>
    </row>
    <row r="331" spans="1:6">
      <c r="A331" t="s">
        <v>573</v>
      </c>
      <c r="B331" t="s">
        <v>630</v>
      </c>
      <c r="C331" t="s">
        <v>631</v>
      </c>
      <c r="D331" s="1">
        <v>46177</v>
      </c>
      <c r="E331">
        <v>808642.48</v>
      </c>
      <c r="F331" t="s">
        <v>9</v>
      </c>
    </row>
    <row r="332" spans="1:6">
      <c r="A332" t="s">
        <v>573</v>
      </c>
      <c r="B332" t="s">
        <v>632</v>
      </c>
      <c r="C332" t="s">
        <v>633</v>
      </c>
      <c r="D332" s="1">
        <v>46177</v>
      </c>
      <c r="E332">
        <v>24799.919999999998</v>
      </c>
      <c r="F332" t="s">
        <v>26</v>
      </c>
    </row>
    <row r="333" spans="1:6">
      <c r="A333" t="s">
        <v>573</v>
      </c>
      <c r="B333" t="s">
        <v>634</v>
      </c>
      <c r="C333" t="s">
        <v>635</v>
      </c>
      <c r="D333" s="1">
        <v>46177</v>
      </c>
      <c r="E333">
        <v>102781.27</v>
      </c>
      <c r="F333" t="s">
        <v>16</v>
      </c>
    </row>
    <row r="334" spans="1:6">
      <c r="A334" t="s">
        <v>573</v>
      </c>
      <c r="B334" t="s">
        <v>636</v>
      </c>
      <c r="C334" t="s">
        <v>637</v>
      </c>
      <c r="D334" s="1">
        <v>46177</v>
      </c>
      <c r="E334">
        <v>1294923.4099999999</v>
      </c>
      <c r="F334" t="s">
        <v>26</v>
      </c>
    </row>
    <row r="335" spans="1:6">
      <c r="A335" t="s">
        <v>573</v>
      </c>
      <c r="B335" t="s">
        <v>638</v>
      </c>
      <c r="C335" t="s">
        <v>639</v>
      </c>
      <c r="D335" s="1">
        <v>46177</v>
      </c>
      <c r="E335">
        <v>89761.49</v>
      </c>
      <c r="F335" t="s">
        <v>9</v>
      </c>
    </row>
    <row r="336" spans="1:6">
      <c r="A336" t="s">
        <v>573</v>
      </c>
      <c r="B336" t="s">
        <v>640</v>
      </c>
      <c r="C336" t="s">
        <v>641</v>
      </c>
      <c r="D336" s="1">
        <v>46177</v>
      </c>
      <c r="E336">
        <v>136322.79</v>
      </c>
      <c r="F336" t="s">
        <v>9</v>
      </c>
    </row>
    <row r="337" spans="1:6">
      <c r="A337" t="s">
        <v>573</v>
      </c>
      <c r="B337" t="s">
        <v>642</v>
      </c>
      <c r="C337" t="s">
        <v>643</v>
      </c>
      <c r="D337" s="1">
        <v>46177</v>
      </c>
      <c r="E337">
        <v>17355.169999999998</v>
      </c>
      <c r="F337" t="s">
        <v>16</v>
      </c>
    </row>
    <row r="338" spans="1:6">
      <c r="A338" t="s">
        <v>573</v>
      </c>
      <c r="B338" t="s">
        <v>644</v>
      </c>
      <c r="C338" t="s">
        <v>645</v>
      </c>
      <c r="D338" s="1">
        <v>46177</v>
      </c>
      <c r="E338">
        <v>236447.9</v>
      </c>
      <c r="F338" t="s">
        <v>16</v>
      </c>
    </row>
    <row r="339" spans="1:6">
      <c r="A339" t="s">
        <v>573</v>
      </c>
      <c r="B339" t="s">
        <v>646</v>
      </c>
      <c r="C339" t="s">
        <v>570</v>
      </c>
      <c r="D339" s="1">
        <v>46177</v>
      </c>
      <c r="E339">
        <v>106203.93</v>
      </c>
      <c r="F339" t="s">
        <v>9</v>
      </c>
    </row>
    <row r="340" spans="1:6">
      <c r="A340" t="s">
        <v>573</v>
      </c>
      <c r="B340" t="s">
        <v>647</v>
      </c>
      <c r="C340" t="s">
        <v>648</v>
      </c>
      <c r="D340" s="1">
        <v>46177</v>
      </c>
      <c r="E340">
        <v>169497.53</v>
      </c>
      <c r="F340" t="s">
        <v>26</v>
      </c>
    </row>
    <row r="341" spans="1:6">
      <c r="A341" t="s">
        <v>573</v>
      </c>
      <c r="B341" t="s">
        <v>649</v>
      </c>
      <c r="C341" t="s">
        <v>650</v>
      </c>
      <c r="D341" s="1">
        <v>46178</v>
      </c>
      <c r="E341">
        <v>206904.17</v>
      </c>
      <c r="F341" t="s">
        <v>16</v>
      </c>
    </row>
    <row r="342" spans="1:6">
      <c r="A342" t="s">
        <v>573</v>
      </c>
      <c r="B342" t="s">
        <v>651</v>
      </c>
      <c r="C342" t="s">
        <v>652</v>
      </c>
      <c r="D342" s="1">
        <v>46178</v>
      </c>
      <c r="E342">
        <v>155512.31</v>
      </c>
      <c r="F342" t="s">
        <v>9</v>
      </c>
    </row>
    <row r="343" spans="1:6">
      <c r="A343" t="s">
        <v>573</v>
      </c>
      <c r="B343" t="s">
        <v>653</v>
      </c>
      <c r="C343" t="s">
        <v>256</v>
      </c>
      <c r="D343" s="1">
        <v>46178</v>
      </c>
      <c r="E343">
        <v>213157.41</v>
      </c>
      <c r="F343" t="s">
        <v>9</v>
      </c>
    </row>
    <row r="344" spans="1:6">
      <c r="A344" t="s">
        <v>573</v>
      </c>
      <c r="B344" t="s">
        <v>654</v>
      </c>
      <c r="C344" t="s">
        <v>655</v>
      </c>
      <c r="D344" s="1">
        <v>46178</v>
      </c>
      <c r="E344">
        <v>152188.01</v>
      </c>
      <c r="F344" t="s">
        <v>9</v>
      </c>
    </row>
    <row r="345" spans="1:6">
      <c r="A345" t="s">
        <v>573</v>
      </c>
      <c r="B345" t="s">
        <v>656</v>
      </c>
      <c r="C345" t="s">
        <v>657</v>
      </c>
      <c r="D345" s="1">
        <v>46178</v>
      </c>
      <c r="E345">
        <v>163939.85</v>
      </c>
      <c r="F345" t="s">
        <v>16</v>
      </c>
    </row>
    <row r="346" spans="1:6">
      <c r="A346" t="s">
        <v>573</v>
      </c>
      <c r="B346" t="s">
        <v>658</v>
      </c>
      <c r="C346" t="s">
        <v>659</v>
      </c>
      <c r="D346" s="1">
        <v>46178</v>
      </c>
      <c r="E346">
        <v>71059.240000000005</v>
      </c>
      <c r="F346" t="s">
        <v>9</v>
      </c>
    </row>
    <row r="347" spans="1:6">
      <c r="A347" t="s">
        <v>573</v>
      </c>
      <c r="B347" t="s">
        <v>660</v>
      </c>
      <c r="C347" t="s">
        <v>661</v>
      </c>
      <c r="D347" s="1">
        <v>46178</v>
      </c>
      <c r="E347">
        <v>55008.9</v>
      </c>
      <c r="F347" t="s">
        <v>16</v>
      </c>
    </row>
    <row r="348" spans="1:6">
      <c r="A348" t="s">
        <v>573</v>
      </c>
      <c r="B348" t="s">
        <v>662</v>
      </c>
      <c r="C348" t="s">
        <v>663</v>
      </c>
      <c r="D348" s="1">
        <v>46178</v>
      </c>
      <c r="E348">
        <v>119396.54</v>
      </c>
      <c r="F348" t="s">
        <v>9</v>
      </c>
    </row>
    <row r="349" spans="1:6">
      <c r="A349" t="s">
        <v>573</v>
      </c>
      <c r="B349" t="s">
        <v>664</v>
      </c>
      <c r="C349" t="s">
        <v>665</v>
      </c>
      <c r="D349" s="1">
        <v>46178</v>
      </c>
      <c r="E349">
        <v>12313.21</v>
      </c>
      <c r="F349" t="s">
        <v>26</v>
      </c>
    </row>
    <row r="350" spans="1:6">
      <c r="A350" t="s">
        <v>573</v>
      </c>
      <c r="B350" t="s">
        <v>666</v>
      </c>
      <c r="C350" t="s">
        <v>667</v>
      </c>
      <c r="D350" s="1">
        <v>46179</v>
      </c>
      <c r="E350">
        <v>359190.45</v>
      </c>
      <c r="F350" t="s">
        <v>9</v>
      </c>
    </row>
    <row r="351" spans="1:6">
      <c r="A351" t="s">
        <v>573</v>
      </c>
      <c r="B351" t="s">
        <v>668</v>
      </c>
      <c r="C351" t="s">
        <v>669</v>
      </c>
      <c r="D351" s="1">
        <v>46179</v>
      </c>
      <c r="E351">
        <v>17505.68</v>
      </c>
      <c r="F351" t="s">
        <v>9</v>
      </c>
    </row>
    <row r="352" spans="1:6">
      <c r="A352" t="s">
        <v>573</v>
      </c>
      <c r="B352" t="s">
        <v>670</v>
      </c>
      <c r="C352" t="s">
        <v>671</v>
      </c>
      <c r="D352" s="1">
        <v>46179</v>
      </c>
      <c r="E352">
        <v>26574.880000000001</v>
      </c>
      <c r="F352" t="s">
        <v>9</v>
      </c>
    </row>
    <row r="353" spans="1:6">
      <c r="A353" t="s">
        <v>573</v>
      </c>
      <c r="B353" t="s">
        <v>672</v>
      </c>
      <c r="C353" t="s">
        <v>673</v>
      </c>
      <c r="D353" s="1">
        <v>46179</v>
      </c>
      <c r="E353">
        <v>573914.59</v>
      </c>
      <c r="F353" t="s">
        <v>26</v>
      </c>
    </row>
    <row r="354" spans="1:6">
      <c r="A354" t="s">
        <v>573</v>
      </c>
      <c r="B354" t="s">
        <v>674</v>
      </c>
      <c r="C354" t="s">
        <v>675</v>
      </c>
      <c r="D354" s="1">
        <v>46179</v>
      </c>
      <c r="E354">
        <v>360816.52</v>
      </c>
      <c r="F354" t="s">
        <v>9</v>
      </c>
    </row>
    <row r="355" spans="1:6">
      <c r="A355" t="s">
        <v>573</v>
      </c>
      <c r="B355" t="s">
        <v>676</v>
      </c>
      <c r="C355" t="s">
        <v>677</v>
      </c>
      <c r="D355" s="1">
        <v>46179</v>
      </c>
      <c r="E355">
        <v>369787.78</v>
      </c>
      <c r="F355" t="s">
        <v>16</v>
      </c>
    </row>
    <row r="356" spans="1:6">
      <c r="A356" t="s">
        <v>573</v>
      </c>
      <c r="B356" t="s">
        <v>678</v>
      </c>
      <c r="C356" t="s">
        <v>679</v>
      </c>
      <c r="D356" s="1">
        <v>46179</v>
      </c>
      <c r="E356">
        <v>60449.69</v>
      </c>
      <c r="F356" t="s">
        <v>9</v>
      </c>
    </row>
    <row r="357" spans="1:6">
      <c r="A357" t="s">
        <v>573</v>
      </c>
      <c r="B357" t="s">
        <v>680</v>
      </c>
      <c r="C357" t="s">
        <v>681</v>
      </c>
      <c r="D357" s="1">
        <v>46180</v>
      </c>
      <c r="E357">
        <v>32520.14</v>
      </c>
      <c r="F357" t="s">
        <v>16</v>
      </c>
    </row>
    <row r="358" spans="1:6">
      <c r="A358" t="s">
        <v>573</v>
      </c>
      <c r="B358" t="s">
        <v>682</v>
      </c>
      <c r="C358" t="s">
        <v>683</v>
      </c>
      <c r="D358" s="1">
        <v>46180</v>
      </c>
      <c r="E358">
        <v>25528.31</v>
      </c>
      <c r="F358" t="s">
        <v>9</v>
      </c>
    </row>
    <row r="359" spans="1:6">
      <c r="A359" t="s">
        <v>573</v>
      </c>
      <c r="B359" t="s">
        <v>684</v>
      </c>
      <c r="C359" t="s">
        <v>685</v>
      </c>
      <c r="D359" s="1">
        <v>46180</v>
      </c>
      <c r="E359">
        <v>13505.42</v>
      </c>
      <c r="F359" t="s">
        <v>16</v>
      </c>
    </row>
    <row r="360" spans="1:6">
      <c r="A360" t="s">
        <v>573</v>
      </c>
      <c r="B360" t="s">
        <v>686</v>
      </c>
      <c r="C360" t="s">
        <v>687</v>
      </c>
      <c r="D360" s="1">
        <v>46180</v>
      </c>
      <c r="E360">
        <v>48755.55</v>
      </c>
      <c r="F360" t="s">
        <v>26</v>
      </c>
    </row>
    <row r="361" spans="1:6">
      <c r="A361" t="s">
        <v>573</v>
      </c>
      <c r="B361" t="s">
        <v>688</v>
      </c>
      <c r="C361" t="s">
        <v>689</v>
      </c>
      <c r="D361" s="1">
        <v>46180</v>
      </c>
      <c r="E361">
        <v>35377</v>
      </c>
      <c r="F361" t="s">
        <v>16</v>
      </c>
    </row>
    <row r="362" spans="1:6">
      <c r="A362" t="s">
        <v>573</v>
      </c>
      <c r="B362" t="s">
        <v>690</v>
      </c>
      <c r="C362" t="s">
        <v>691</v>
      </c>
      <c r="D362" s="1">
        <v>46180</v>
      </c>
      <c r="E362">
        <v>16275.39</v>
      </c>
      <c r="F362" t="s">
        <v>9</v>
      </c>
    </row>
    <row r="363" spans="1:6">
      <c r="A363" t="s">
        <v>573</v>
      </c>
      <c r="B363" t="s">
        <v>692</v>
      </c>
      <c r="C363" t="s">
        <v>693</v>
      </c>
      <c r="D363" s="1">
        <v>46181</v>
      </c>
      <c r="E363">
        <v>67916.160000000003</v>
      </c>
      <c r="F363" t="s">
        <v>9</v>
      </c>
    </row>
    <row r="364" spans="1:6">
      <c r="A364" t="s">
        <v>573</v>
      </c>
      <c r="B364" t="s">
        <v>694</v>
      </c>
      <c r="C364" t="s">
        <v>695</v>
      </c>
      <c r="D364" s="1">
        <v>46181</v>
      </c>
      <c r="E364">
        <v>322563.78999999998</v>
      </c>
      <c r="F364" t="s">
        <v>16</v>
      </c>
    </row>
    <row r="365" spans="1:6">
      <c r="A365" t="s">
        <v>573</v>
      </c>
      <c r="B365" t="s">
        <v>696</v>
      </c>
      <c r="C365" t="s">
        <v>697</v>
      </c>
      <c r="D365" s="1">
        <v>46181</v>
      </c>
      <c r="E365">
        <v>514559.58</v>
      </c>
      <c r="F365" t="s">
        <v>16</v>
      </c>
    </row>
    <row r="366" spans="1:6">
      <c r="A366" t="s">
        <v>573</v>
      </c>
      <c r="B366" t="s">
        <v>698</v>
      </c>
      <c r="C366" t="s">
        <v>699</v>
      </c>
      <c r="D366" s="1">
        <v>46181</v>
      </c>
      <c r="E366">
        <v>155186.15</v>
      </c>
      <c r="F366" t="s">
        <v>9</v>
      </c>
    </row>
    <row r="367" spans="1:6">
      <c r="A367" t="s">
        <v>573</v>
      </c>
      <c r="B367" t="s">
        <v>700</v>
      </c>
      <c r="C367" t="s">
        <v>701</v>
      </c>
      <c r="D367" s="1">
        <v>46181</v>
      </c>
      <c r="E367">
        <v>248734.52</v>
      </c>
      <c r="F367" t="s">
        <v>16</v>
      </c>
    </row>
    <row r="368" spans="1:6">
      <c r="A368" t="s">
        <v>573</v>
      </c>
      <c r="B368" t="s">
        <v>702</v>
      </c>
      <c r="C368" t="s">
        <v>703</v>
      </c>
      <c r="D368" s="1">
        <v>46181</v>
      </c>
      <c r="E368">
        <v>26462.21</v>
      </c>
      <c r="F368" t="s">
        <v>9</v>
      </c>
    </row>
    <row r="369" spans="1:6">
      <c r="A369" t="s">
        <v>573</v>
      </c>
      <c r="B369" t="s">
        <v>704</v>
      </c>
      <c r="C369" t="s">
        <v>705</v>
      </c>
      <c r="D369" s="1">
        <v>46182</v>
      </c>
      <c r="E369">
        <v>1111833.3600000001</v>
      </c>
      <c r="F369" t="s">
        <v>16</v>
      </c>
    </row>
    <row r="370" spans="1:6">
      <c r="A370" t="s">
        <v>573</v>
      </c>
      <c r="B370" t="s">
        <v>706</v>
      </c>
      <c r="C370" t="s">
        <v>454</v>
      </c>
      <c r="D370" s="1">
        <v>46182</v>
      </c>
      <c r="E370">
        <v>55219.61</v>
      </c>
      <c r="F370" t="s">
        <v>16</v>
      </c>
    </row>
    <row r="371" spans="1:6">
      <c r="A371" t="s">
        <v>573</v>
      </c>
      <c r="B371" t="s">
        <v>707</v>
      </c>
      <c r="C371" t="s">
        <v>708</v>
      </c>
      <c r="D371" s="1">
        <v>46182</v>
      </c>
      <c r="E371">
        <v>203171.98</v>
      </c>
      <c r="F371" t="s">
        <v>26</v>
      </c>
    </row>
    <row r="372" spans="1:6">
      <c r="A372" t="s">
        <v>573</v>
      </c>
      <c r="B372" t="s">
        <v>709</v>
      </c>
      <c r="C372" t="s">
        <v>710</v>
      </c>
      <c r="D372" s="1">
        <v>46182</v>
      </c>
      <c r="E372">
        <v>723269.46</v>
      </c>
      <c r="F372" t="s">
        <v>9</v>
      </c>
    </row>
    <row r="373" spans="1:6">
      <c r="A373" t="s">
        <v>573</v>
      </c>
      <c r="B373" t="s">
        <v>711</v>
      </c>
      <c r="C373" t="s">
        <v>712</v>
      </c>
      <c r="D373" s="1">
        <v>46182</v>
      </c>
      <c r="E373">
        <v>154998.49</v>
      </c>
      <c r="F373" t="s">
        <v>9</v>
      </c>
    </row>
    <row r="374" spans="1:6">
      <c r="A374" t="s">
        <v>573</v>
      </c>
      <c r="B374" t="s">
        <v>713</v>
      </c>
      <c r="C374" t="s">
        <v>714</v>
      </c>
      <c r="D374" s="1">
        <v>46182</v>
      </c>
      <c r="E374">
        <v>211622.69</v>
      </c>
      <c r="F374" t="s">
        <v>9</v>
      </c>
    </row>
    <row r="375" spans="1:6">
      <c r="A375" t="s">
        <v>573</v>
      </c>
      <c r="B375" t="s">
        <v>715</v>
      </c>
      <c r="C375" t="s">
        <v>716</v>
      </c>
      <c r="D375" s="1">
        <v>46182</v>
      </c>
      <c r="E375">
        <v>37979.32</v>
      </c>
      <c r="F375" t="s">
        <v>9</v>
      </c>
    </row>
    <row r="376" spans="1:6">
      <c r="A376" t="s">
        <v>573</v>
      </c>
      <c r="B376" t="s">
        <v>717</v>
      </c>
      <c r="C376" t="s">
        <v>718</v>
      </c>
      <c r="D376" s="1">
        <v>46183</v>
      </c>
      <c r="E376">
        <v>17644.830000000002</v>
      </c>
      <c r="F376" t="s">
        <v>26</v>
      </c>
    </row>
    <row r="377" spans="1:6">
      <c r="A377" t="s">
        <v>573</v>
      </c>
      <c r="B377" t="s">
        <v>719</v>
      </c>
      <c r="C377" t="s">
        <v>720</v>
      </c>
      <c r="D377" s="1">
        <v>46183</v>
      </c>
      <c r="E377">
        <v>92003.41</v>
      </c>
      <c r="F377" t="s">
        <v>9</v>
      </c>
    </row>
    <row r="378" spans="1:6">
      <c r="A378" t="s">
        <v>573</v>
      </c>
      <c r="B378" t="s">
        <v>721</v>
      </c>
      <c r="C378" t="s">
        <v>722</v>
      </c>
      <c r="D378" s="1">
        <v>46183</v>
      </c>
      <c r="E378">
        <v>538237.46</v>
      </c>
      <c r="F378" t="s">
        <v>16</v>
      </c>
    </row>
    <row r="379" spans="1:6">
      <c r="A379" t="s">
        <v>573</v>
      </c>
      <c r="B379" t="s">
        <v>723</v>
      </c>
      <c r="C379" t="s">
        <v>724</v>
      </c>
      <c r="D379" s="1">
        <v>46183</v>
      </c>
      <c r="E379">
        <v>517006.79</v>
      </c>
      <c r="F379" t="s">
        <v>16</v>
      </c>
    </row>
    <row r="380" spans="1:6">
      <c r="A380" t="s">
        <v>573</v>
      </c>
      <c r="B380" t="s">
        <v>725</v>
      </c>
      <c r="C380" t="s">
        <v>726</v>
      </c>
      <c r="D380" s="1">
        <v>46183</v>
      </c>
      <c r="E380">
        <v>6057.69</v>
      </c>
      <c r="F380" t="s">
        <v>26</v>
      </c>
    </row>
    <row r="381" spans="1:6">
      <c r="A381" t="s">
        <v>573</v>
      </c>
      <c r="B381" t="s">
        <v>727</v>
      </c>
      <c r="C381" t="s">
        <v>728</v>
      </c>
      <c r="D381" s="1">
        <v>46184</v>
      </c>
      <c r="E381">
        <v>8650.16</v>
      </c>
      <c r="F381" t="s">
        <v>9</v>
      </c>
    </row>
    <row r="382" spans="1:6">
      <c r="A382" t="s">
        <v>573</v>
      </c>
      <c r="B382" t="s">
        <v>729</v>
      </c>
      <c r="C382" t="s">
        <v>730</v>
      </c>
      <c r="D382" s="1">
        <v>46184</v>
      </c>
      <c r="E382">
        <v>173658.23</v>
      </c>
      <c r="F382" t="s">
        <v>9</v>
      </c>
    </row>
    <row r="383" spans="1:6">
      <c r="A383" t="s">
        <v>573</v>
      </c>
      <c r="B383" t="s">
        <v>731</v>
      </c>
      <c r="C383" t="s">
        <v>732</v>
      </c>
      <c r="D383" s="1">
        <v>46184</v>
      </c>
      <c r="E383">
        <v>37034.230000000003</v>
      </c>
      <c r="F383" t="s">
        <v>9</v>
      </c>
    </row>
    <row r="384" spans="1:6">
      <c r="A384" t="s">
        <v>573</v>
      </c>
      <c r="B384" t="s">
        <v>733</v>
      </c>
      <c r="C384" t="s">
        <v>734</v>
      </c>
      <c r="D384" s="1">
        <v>46184</v>
      </c>
      <c r="E384">
        <v>22869.17</v>
      </c>
      <c r="F384" t="s">
        <v>16</v>
      </c>
    </row>
    <row r="385" spans="1:6">
      <c r="A385" t="s">
        <v>573</v>
      </c>
      <c r="B385" t="s">
        <v>735</v>
      </c>
      <c r="C385" t="s">
        <v>736</v>
      </c>
      <c r="D385" s="1">
        <v>46184</v>
      </c>
      <c r="E385">
        <v>171740.68</v>
      </c>
      <c r="F385" t="s">
        <v>9</v>
      </c>
    </row>
    <row r="386" spans="1:6">
      <c r="A386" t="s">
        <v>573</v>
      </c>
      <c r="B386" t="s">
        <v>737</v>
      </c>
      <c r="C386" t="s">
        <v>351</v>
      </c>
      <c r="D386" s="1">
        <v>46185</v>
      </c>
      <c r="E386">
        <v>63305.02</v>
      </c>
      <c r="F386" t="s">
        <v>16</v>
      </c>
    </row>
    <row r="387" spans="1:6">
      <c r="A387" t="s">
        <v>573</v>
      </c>
      <c r="B387" t="s">
        <v>738</v>
      </c>
      <c r="C387" t="s">
        <v>739</v>
      </c>
      <c r="D387" s="1">
        <v>46185</v>
      </c>
      <c r="E387">
        <v>26909.599999999999</v>
      </c>
      <c r="F387" t="s">
        <v>9</v>
      </c>
    </row>
    <row r="388" spans="1:6">
      <c r="A388" t="s">
        <v>573</v>
      </c>
      <c r="B388" t="s">
        <v>740</v>
      </c>
      <c r="C388" t="s">
        <v>741</v>
      </c>
      <c r="D388" s="1">
        <v>46185</v>
      </c>
      <c r="E388">
        <v>166750.28</v>
      </c>
      <c r="F388" t="s">
        <v>16</v>
      </c>
    </row>
    <row r="389" spans="1:6">
      <c r="A389" t="s">
        <v>573</v>
      </c>
      <c r="B389" t="s">
        <v>742</v>
      </c>
      <c r="C389" t="s">
        <v>743</v>
      </c>
      <c r="D389" s="1">
        <v>46185</v>
      </c>
      <c r="E389">
        <v>13307.73</v>
      </c>
      <c r="F389" t="s">
        <v>9</v>
      </c>
    </row>
    <row r="390" spans="1:6">
      <c r="A390" t="s">
        <v>573</v>
      </c>
      <c r="B390" t="s">
        <v>744</v>
      </c>
      <c r="C390" t="s">
        <v>745</v>
      </c>
      <c r="D390" s="1">
        <v>46185</v>
      </c>
      <c r="E390">
        <v>423363.86</v>
      </c>
      <c r="F390" t="s">
        <v>9</v>
      </c>
    </row>
    <row r="391" spans="1:6">
      <c r="A391" t="s">
        <v>573</v>
      </c>
      <c r="B391" t="s">
        <v>746</v>
      </c>
      <c r="C391" t="s">
        <v>747</v>
      </c>
      <c r="D391" s="1">
        <v>46185</v>
      </c>
      <c r="E391">
        <v>481903</v>
      </c>
      <c r="F391" t="s">
        <v>16</v>
      </c>
    </row>
    <row r="392" spans="1:6">
      <c r="A392" t="s">
        <v>573</v>
      </c>
      <c r="B392" t="s">
        <v>748</v>
      </c>
      <c r="C392" t="s">
        <v>749</v>
      </c>
      <c r="D392" s="1">
        <v>46185</v>
      </c>
      <c r="E392">
        <v>55275.25</v>
      </c>
      <c r="F392" t="s">
        <v>9</v>
      </c>
    </row>
    <row r="393" spans="1:6">
      <c r="A393" t="s">
        <v>573</v>
      </c>
      <c r="B393" t="s">
        <v>750</v>
      </c>
      <c r="C393" t="s">
        <v>751</v>
      </c>
      <c r="D393" s="1">
        <v>46185</v>
      </c>
      <c r="E393">
        <v>366144.21</v>
      </c>
      <c r="F393" t="s">
        <v>9</v>
      </c>
    </row>
    <row r="394" spans="1:6">
      <c r="A394" t="s">
        <v>573</v>
      </c>
      <c r="B394" t="s">
        <v>752</v>
      </c>
      <c r="C394" t="s">
        <v>753</v>
      </c>
      <c r="D394" s="1">
        <v>46185</v>
      </c>
      <c r="E394">
        <v>357640.18</v>
      </c>
      <c r="F394" t="s">
        <v>9</v>
      </c>
    </row>
    <row r="395" spans="1:6">
      <c r="A395" t="s">
        <v>573</v>
      </c>
      <c r="B395" t="s">
        <v>754</v>
      </c>
      <c r="C395" t="s">
        <v>755</v>
      </c>
      <c r="D395" s="1">
        <v>46185</v>
      </c>
      <c r="E395">
        <v>181302.29</v>
      </c>
      <c r="F395" t="s">
        <v>9</v>
      </c>
    </row>
    <row r="396" spans="1:6">
      <c r="A396" t="s">
        <v>573</v>
      </c>
      <c r="B396" t="s">
        <v>756</v>
      </c>
      <c r="C396" t="s">
        <v>757</v>
      </c>
      <c r="D396" s="1">
        <v>46185</v>
      </c>
      <c r="E396">
        <v>98726.41</v>
      </c>
      <c r="F396" t="s">
        <v>9</v>
      </c>
    </row>
    <row r="397" spans="1:6">
      <c r="A397" t="s">
        <v>573</v>
      </c>
      <c r="B397" t="s">
        <v>758</v>
      </c>
      <c r="C397" t="s">
        <v>633</v>
      </c>
      <c r="D397" s="1">
        <v>46186</v>
      </c>
      <c r="E397">
        <v>34018.800000000003</v>
      </c>
      <c r="F397" t="s">
        <v>26</v>
      </c>
    </row>
    <row r="398" spans="1:6">
      <c r="A398" t="s">
        <v>573</v>
      </c>
      <c r="B398" t="s">
        <v>759</v>
      </c>
      <c r="C398" t="s">
        <v>760</v>
      </c>
      <c r="D398" s="1">
        <v>46186</v>
      </c>
      <c r="E398">
        <v>752967.43</v>
      </c>
      <c r="F398" t="s">
        <v>9</v>
      </c>
    </row>
    <row r="399" spans="1:6">
      <c r="A399" t="s">
        <v>573</v>
      </c>
      <c r="B399" t="s">
        <v>761</v>
      </c>
      <c r="C399" t="s">
        <v>639</v>
      </c>
      <c r="D399" s="1">
        <v>46186</v>
      </c>
      <c r="E399">
        <v>147468.67000000001</v>
      </c>
      <c r="F399" t="s">
        <v>16</v>
      </c>
    </row>
    <row r="400" spans="1:6">
      <c r="A400" t="s">
        <v>573</v>
      </c>
      <c r="B400" t="s">
        <v>762</v>
      </c>
      <c r="C400" t="s">
        <v>763</v>
      </c>
      <c r="D400" s="1">
        <v>46186</v>
      </c>
      <c r="E400">
        <v>69765.63</v>
      </c>
      <c r="F400" t="s">
        <v>9</v>
      </c>
    </row>
    <row r="401" spans="1:6">
      <c r="A401" t="s">
        <v>573</v>
      </c>
      <c r="B401" t="s">
        <v>764</v>
      </c>
      <c r="C401" t="s">
        <v>481</v>
      </c>
      <c r="D401" s="1">
        <v>46187</v>
      </c>
      <c r="E401">
        <v>127868.73</v>
      </c>
      <c r="F401" t="s">
        <v>9</v>
      </c>
    </row>
    <row r="402" spans="1:6">
      <c r="A402" t="s">
        <v>573</v>
      </c>
      <c r="B402" t="s">
        <v>765</v>
      </c>
      <c r="C402" t="s">
        <v>766</v>
      </c>
      <c r="D402" s="1">
        <v>46187</v>
      </c>
      <c r="E402">
        <v>6266.77</v>
      </c>
      <c r="F402" t="s">
        <v>9</v>
      </c>
    </row>
    <row r="403" spans="1:6">
      <c r="A403" t="s">
        <v>573</v>
      </c>
      <c r="B403" t="s">
        <v>767</v>
      </c>
      <c r="C403" t="s">
        <v>768</v>
      </c>
      <c r="D403" s="1">
        <v>46187</v>
      </c>
      <c r="E403">
        <v>223127.7</v>
      </c>
      <c r="F403" t="s">
        <v>9</v>
      </c>
    </row>
    <row r="404" spans="1:6">
      <c r="A404" t="s">
        <v>573</v>
      </c>
      <c r="B404" t="s">
        <v>769</v>
      </c>
      <c r="C404" t="s">
        <v>770</v>
      </c>
      <c r="D404" s="1">
        <v>46187</v>
      </c>
      <c r="E404">
        <v>35804.92</v>
      </c>
      <c r="F404" t="s">
        <v>9</v>
      </c>
    </row>
    <row r="405" spans="1:6">
      <c r="A405" t="s">
        <v>573</v>
      </c>
      <c r="B405" t="s">
        <v>771</v>
      </c>
      <c r="C405" t="s">
        <v>772</v>
      </c>
      <c r="D405" s="1">
        <v>46187</v>
      </c>
      <c r="E405">
        <v>1309769.54</v>
      </c>
      <c r="F405" t="s">
        <v>9</v>
      </c>
    </row>
    <row r="406" spans="1:6">
      <c r="A406" t="s">
        <v>573</v>
      </c>
      <c r="B406" t="s">
        <v>773</v>
      </c>
      <c r="C406" t="s">
        <v>774</v>
      </c>
      <c r="D406" s="1">
        <v>46187</v>
      </c>
      <c r="E406">
        <v>70668.34</v>
      </c>
      <c r="F406" t="s">
        <v>26</v>
      </c>
    </row>
    <row r="407" spans="1:6">
      <c r="A407" t="s">
        <v>573</v>
      </c>
      <c r="B407" t="s">
        <v>775</v>
      </c>
      <c r="C407" t="s">
        <v>776</v>
      </c>
      <c r="D407" s="1">
        <v>46188</v>
      </c>
      <c r="E407">
        <v>181391.09</v>
      </c>
      <c r="F407" t="s">
        <v>9</v>
      </c>
    </row>
    <row r="408" spans="1:6">
      <c r="A408" t="s">
        <v>573</v>
      </c>
      <c r="B408" t="s">
        <v>777</v>
      </c>
      <c r="C408" t="s">
        <v>367</v>
      </c>
      <c r="D408" s="1">
        <v>46188</v>
      </c>
      <c r="E408">
        <v>252683.28</v>
      </c>
      <c r="F408" t="s">
        <v>16</v>
      </c>
    </row>
    <row r="409" spans="1:6">
      <c r="A409" t="s">
        <v>573</v>
      </c>
      <c r="B409" t="s">
        <v>778</v>
      </c>
      <c r="C409" t="s">
        <v>779</v>
      </c>
      <c r="D409" s="1">
        <v>46188</v>
      </c>
      <c r="E409">
        <v>1951616.33</v>
      </c>
      <c r="F409" t="s">
        <v>16</v>
      </c>
    </row>
    <row r="410" spans="1:6">
      <c r="A410" t="s">
        <v>573</v>
      </c>
      <c r="B410" t="s">
        <v>780</v>
      </c>
      <c r="C410" t="s">
        <v>781</v>
      </c>
      <c r="D410" s="1">
        <v>46188</v>
      </c>
      <c r="E410">
        <v>21386.95</v>
      </c>
      <c r="F410" t="s">
        <v>26</v>
      </c>
    </row>
    <row r="411" spans="1:6">
      <c r="A411" t="s">
        <v>573</v>
      </c>
      <c r="B411" t="s">
        <v>782</v>
      </c>
      <c r="C411" t="s">
        <v>783</v>
      </c>
      <c r="D411" s="1">
        <v>46188</v>
      </c>
      <c r="E411">
        <v>74545.5</v>
      </c>
      <c r="F411" t="s">
        <v>16</v>
      </c>
    </row>
    <row r="412" spans="1:6">
      <c r="A412" t="s">
        <v>573</v>
      </c>
      <c r="B412" t="s">
        <v>784</v>
      </c>
      <c r="C412" t="s">
        <v>785</v>
      </c>
      <c r="D412" s="1">
        <v>46188</v>
      </c>
      <c r="E412">
        <v>176179.18</v>
      </c>
      <c r="F412" t="s">
        <v>16</v>
      </c>
    </row>
    <row r="413" spans="1:6">
      <c r="A413" t="s">
        <v>573</v>
      </c>
      <c r="B413" t="s">
        <v>786</v>
      </c>
      <c r="C413" t="s">
        <v>787</v>
      </c>
      <c r="D413" s="1">
        <v>46188</v>
      </c>
      <c r="E413">
        <v>463034.48</v>
      </c>
      <c r="F413" t="s">
        <v>9</v>
      </c>
    </row>
    <row r="414" spans="1:6">
      <c r="A414" t="s">
        <v>573</v>
      </c>
      <c r="B414" t="s">
        <v>788</v>
      </c>
      <c r="C414" t="s">
        <v>789</v>
      </c>
      <c r="D414" s="1">
        <v>46188</v>
      </c>
      <c r="E414">
        <v>32299.58</v>
      </c>
      <c r="F414" t="s">
        <v>9</v>
      </c>
    </row>
    <row r="415" spans="1:6">
      <c r="A415" t="s">
        <v>573</v>
      </c>
      <c r="B415" t="s">
        <v>790</v>
      </c>
      <c r="C415" t="s">
        <v>791</v>
      </c>
      <c r="D415" s="1">
        <v>46188</v>
      </c>
      <c r="E415">
        <v>11381.85</v>
      </c>
      <c r="F415" t="s">
        <v>26</v>
      </c>
    </row>
    <row r="416" spans="1:6">
      <c r="A416" t="s">
        <v>573</v>
      </c>
      <c r="B416" t="s">
        <v>792</v>
      </c>
      <c r="C416" t="s">
        <v>793</v>
      </c>
      <c r="D416" s="1">
        <v>46188</v>
      </c>
      <c r="E416">
        <v>16966.86</v>
      </c>
      <c r="F416" t="s">
        <v>26</v>
      </c>
    </row>
    <row r="417" spans="1:6">
      <c r="A417" t="s">
        <v>573</v>
      </c>
      <c r="B417" t="s">
        <v>794</v>
      </c>
      <c r="C417" t="s">
        <v>795</v>
      </c>
      <c r="D417" s="1">
        <v>46188</v>
      </c>
      <c r="E417">
        <v>54445.49</v>
      </c>
      <c r="F417" t="s">
        <v>26</v>
      </c>
    </row>
    <row r="418" spans="1:6">
      <c r="A418" t="s">
        <v>573</v>
      </c>
      <c r="B418" t="s">
        <v>796</v>
      </c>
      <c r="C418" t="s">
        <v>797</v>
      </c>
      <c r="D418" s="1">
        <v>46188</v>
      </c>
      <c r="E418">
        <v>15444.47</v>
      </c>
      <c r="F418" t="s">
        <v>9</v>
      </c>
    </row>
    <row r="419" spans="1:6">
      <c r="A419" t="s">
        <v>573</v>
      </c>
      <c r="B419" t="s">
        <v>798</v>
      </c>
      <c r="C419" t="s">
        <v>799</v>
      </c>
      <c r="D419" s="1">
        <v>46188</v>
      </c>
      <c r="E419">
        <v>199180.05</v>
      </c>
      <c r="F419" t="s">
        <v>9</v>
      </c>
    </row>
    <row r="420" spans="1:6">
      <c r="A420" t="s">
        <v>573</v>
      </c>
      <c r="B420" t="s">
        <v>800</v>
      </c>
      <c r="C420" t="s">
        <v>801</v>
      </c>
      <c r="D420" s="1">
        <v>46188</v>
      </c>
      <c r="E420">
        <v>8196.85</v>
      </c>
      <c r="F420" t="s">
        <v>26</v>
      </c>
    </row>
    <row r="421" spans="1:6">
      <c r="A421" t="s">
        <v>573</v>
      </c>
      <c r="B421" t="s">
        <v>802</v>
      </c>
      <c r="C421" t="s">
        <v>803</v>
      </c>
      <c r="D421" s="1">
        <v>46189</v>
      </c>
      <c r="E421">
        <v>693940.42</v>
      </c>
      <c r="F421" t="s">
        <v>26</v>
      </c>
    </row>
    <row r="422" spans="1:6">
      <c r="A422" t="s">
        <v>573</v>
      </c>
      <c r="B422" t="s">
        <v>804</v>
      </c>
      <c r="C422" t="s">
        <v>805</v>
      </c>
      <c r="D422" s="1">
        <v>46189</v>
      </c>
      <c r="E422">
        <v>5000</v>
      </c>
      <c r="F422" t="s">
        <v>16</v>
      </c>
    </row>
    <row r="423" spans="1:6">
      <c r="A423" t="s">
        <v>573</v>
      </c>
      <c r="B423" t="s">
        <v>806</v>
      </c>
      <c r="C423" t="s">
        <v>807</v>
      </c>
      <c r="D423" s="1">
        <v>46189</v>
      </c>
      <c r="E423">
        <v>36259.97</v>
      </c>
      <c r="F423" t="s">
        <v>16</v>
      </c>
    </row>
    <row r="424" spans="1:6">
      <c r="A424" t="s">
        <v>573</v>
      </c>
      <c r="B424" t="s">
        <v>808</v>
      </c>
      <c r="C424" t="s">
        <v>809</v>
      </c>
      <c r="D424" s="1">
        <v>46189</v>
      </c>
      <c r="E424">
        <v>219741.5</v>
      </c>
      <c r="F424" t="s">
        <v>16</v>
      </c>
    </row>
    <row r="425" spans="1:6">
      <c r="A425" t="s">
        <v>573</v>
      </c>
      <c r="B425" t="s">
        <v>810</v>
      </c>
      <c r="C425" t="s">
        <v>544</v>
      </c>
      <c r="D425" s="1">
        <v>46189</v>
      </c>
      <c r="E425">
        <v>23420</v>
      </c>
      <c r="F425" t="s">
        <v>26</v>
      </c>
    </row>
    <row r="426" spans="1:6">
      <c r="A426" t="s">
        <v>573</v>
      </c>
      <c r="B426" t="s">
        <v>811</v>
      </c>
      <c r="C426" t="s">
        <v>812</v>
      </c>
      <c r="D426" s="1">
        <v>46189</v>
      </c>
      <c r="E426">
        <v>235026.79</v>
      </c>
      <c r="F426" t="s">
        <v>26</v>
      </c>
    </row>
    <row r="427" spans="1:6">
      <c r="A427" t="s">
        <v>573</v>
      </c>
      <c r="B427" t="s">
        <v>813</v>
      </c>
      <c r="C427" t="s">
        <v>814</v>
      </c>
      <c r="D427" s="1">
        <v>46189</v>
      </c>
      <c r="E427">
        <v>27601.71</v>
      </c>
      <c r="F427" t="s">
        <v>9</v>
      </c>
    </row>
    <row r="428" spans="1:6">
      <c r="A428" t="s">
        <v>573</v>
      </c>
      <c r="B428" t="s">
        <v>815</v>
      </c>
      <c r="C428" t="s">
        <v>816</v>
      </c>
      <c r="D428" s="1">
        <v>46189</v>
      </c>
      <c r="E428">
        <v>393521.8</v>
      </c>
      <c r="F428" t="s">
        <v>16</v>
      </c>
    </row>
    <row r="429" spans="1:6">
      <c r="A429" t="s">
        <v>573</v>
      </c>
      <c r="B429" t="s">
        <v>817</v>
      </c>
      <c r="C429" t="s">
        <v>755</v>
      </c>
      <c r="D429" s="1">
        <v>46189</v>
      </c>
      <c r="E429">
        <v>203506.32</v>
      </c>
      <c r="F429" t="s">
        <v>9</v>
      </c>
    </row>
    <row r="430" spans="1:6">
      <c r="A430" t="s">
        <v>573</v>
      </c>
      <c r="B430" t="s">
        <v>818</v>
      </c>
      <c r="C430" t="s">
        <v>819</v>
      </c>
      <c r="D430" s="1">
        <v>46190</v>
      </c>
      <c r="E430">
        <v>79679.97</v>
      </c>
      <c r="F430" t="s">
        <v>9</v>
      </c>
    </row>
    <row r="431" spans="1:6">
      <c r="A431" t="s">
        <v>573</v>
      </c>
      <c r="B431" t="s">
        <v>820</v>
      </c>
      <c r="C431" t="s">
        <v>167</v>
      </c>
      <c r="D431" s="1">
        <v>46190</v>
      </c>
      <c r="E431">
        <v>33882.400000000001</v>
      </c>
      <c r="F431" t="s">
        <v>9</v>
      </c>
    </row>
    <row r="432" spans="1:6">
      <c r="A432" t="s">
        <v>573</v>
      </c>
      <c r="B432" t="s">
        <v>821</v>
      </c>
      <c r="C432" t="s">
        <v>822</v>
      </c>
      <c r="D432" s="1">
        <v>46190</v>
      </c>
      <c r="E432">
        <v>214527.84</v>
      </c>
      <c r="F432" t="s">
        <v>16</v>
      </c>
    </row>
    <row r="433" spans="1:6">
      <c r="A433" t="s">
        <v>573</v>
      </c>
      <c r="B433" t="s">
        <v>823</v>
      </c>
      <c r="C433" t="s">
        <v>824</v>
      </c>
      <c r="D433" s="1">
        <v>46190</v>
      </c>
      <c r="E433">
        <v>414974.36</v>
      </c>
      <c r="F433" t="s">
        <v>26</v>
      </c>
    </row>
    <row r="434" spans="1:6">
      <c r="A434" t="s">
        <v>573</v>
      </c>
      <c r="B434" t="s">
        <v>825</v>
      </c>
      <c r="C434" t="s">
        <v>772</v>
      </c>
      <c r="D434" s="1">
        <v>46190</v>
      </c>
      <c r="E434">
        <v>690230.46</v>
      </c>
      <c r="F434" t="s">
        <v>9</v>
      </c>
    </row>
    <row r="435" spans="1:6">
      <c r="A435" t="s">
        <v>573</v>
      </c>
      <c r="B435" t="s">
        <v>826</v>
      </c>
      <c r="C435" t="s">
        <v>827</v>
      </c>
      <c r="D435" s="1">
        <v>46190</v>
      </c>
      <c r="E435">
        <v>19411.3</v>
      </c>
      <c r="F435" t="s">
        <v>26</v>
      </c>
    </row>
    <row r="436" spans="1:6">
      <c r="A436" t="s">
        <v>573</v>
      </c>
      <c r="B436" t="s">
        <v>828</v>
      </c>
      <c r="C436" t="s">
        <v>829</v>
      </c>
      <c r="D436" s="1">
        <v>46190</v>
      </c>
      <c r="E436">
        <v>1150048.8999999999</v>
      </c>
      <c r="F436" t="s">
        <v>9</v>
      </c>
    </row>
    <row r="437" spans="1:6">
      <c r="A437" t="s">
        <v>573</v>
      </c>
      <c r="B437" t="s">
        <v>830</v>
      </c>
      <c r="C437" t="s">
        <v>831</v>
      </c>
      <c r="D437" s="1">
        <v>46190</v>
      </c>
      <c r="E437">
        <v>31952.76</v>
      </c>
      <c r="F437" t="s">
        <v>16</v>
      </c>
    </row>
    <row r="438" spans="1:6">
      <c r="A438" t="s">
        <v>573</v>
      </c>
      <c r="B438" t="s">
        <v>832</v>
      </c>
      <c r="C438" t="s">
        <v>833</v>
      </c>
      <c r="D438" s="1">
        <v>46190</v>
      </c>
      <c r="E438">
        <v>22799.34</v>
      </c>
      <c r="F438" t="s">
        <v>9</v>
      </c>
    </row>
    <row r="439" spans="1:6">
      <c r="A439" t="s">
        <v>573</v>
      </c>
      <c r="B439" t="s">
        <v>834</v>
      </c>
      <c r="C439" t="s">
        <v>835</v>
      </c>
      <c r="D439" s="1">
        <v>46190</v>
      </c>
      <c r="E439">
        <v>236969.68</v>
      </c>
      <c r="F439" t="s">
        <v>16</v>
      </c>
    </row>
    <row r="440" spans="1:6">
      <c r="A440" t="s">
        <v>573</v>
      </c>
      <c r="B440" t="s">
        <v>836</v>
      </c>
      <c r="C440" t="s">
        <v>837</v>
      </c>
      <c r="D440" s="1">
        <v>46191</v>
      </c>
      <c r="E440">
        <v>106916.59</v>
      </c>
      <c r="F440" t="s">
        <v>9</v>
      </c>
    </row>
    <row r="441" spans="1:6">
      <c r="A441" t="s">
        <v>573</v>
      </c>
      <c r="B441" t="s">
        <v>838</v>
      </c>
      <c r="C441" t="s">
        <v>839</v>
      </c>
      <c r="D441" s="1">
        <v>46191</v>
      </c>
      <c r="E441">
        <v>1495716.75</v>
      </c>
      <c r="F441" t="s">
        <v>26</v>
      </c>
    </row>
    <row r="442" spans="1:6">
      <c r="A442" t="s">
        <v>573</v>
      </c>
      <c r="B442" t="s">
        <v>840</v>
      </c>
      <c r="C442" t="s">
        <v>841</v>
      </c>
      <c r="D442" s="1">
        <v>46191</v>
      </c>
      <c r="E442">
        <v>32304.240000000002</v>
      </c>
      <c r="F442" t="s">
        <v>9</v>
      </c>
    </row>
    <row r="443" spans="1:6">
      <c r="A443" t="s">
        <v>573</v>
      </c>
      <c r="B443" t="s">
        <v>842</v>
      </c>
      <c r="C443" t="s">
        <v>843</v>
      </c>
      <c r="D443" s="1">
        <v>46191</v>
      </c>
      <c r="E443">
        <v>347472.81</v>
      </c>
      <c r="F443" t="s">
        <v>9</v>
      </c>
    </row>
    <row r="444" spans="1:6">
      <c r="A444" t="s">
        <v>573</v>
      </c>
      <c r="B444" t="s">
        <v>844</v>
      </c>
      <c r="C444" t="s">
        <v>845</v>
      </c>
      <c r="D444" s="1">
        <v>46191</v>
      </c>
      <c r="E444">
        <v>248265.55</v>
      </c>
      <c r="F444" t="s">
        <v>9</v>
      </c>
    </row>
    <row r="445" spans="1:6">
      <c r="A445" t="s">
        <v>573</v>
      </c>
      <c r="B445" t="s">
        <v>846</v>
      </c>
      <c r="C445" t="s">
        <v>687</v>
      </c>
      <c r="D445" s="1">
        <v>46191</v>
      </c>
      <c r="E445">
        <v>93105.17</v>
      </c>
      <c r="F445" t="s">
        <v>26</v>
      </c>
    </row>
    <row r="446" spans="1:6">
      <c r="A446" t="s">
        <v>573</v>
      </c>
      <c r="B446" t="s">
        <v>847</v>
      </c>
      <c r="C446" t="s">
        <v>848</v>
      </c>
      <c r="D446" s="1">
        <v>46191</v>
      </c>
      <c r="E446">
        <v>62011.81</v>
      </c>
      <c r="F446" t="s">
        <v>9</v>
      </c>
    </row>
    <row r="447" spans="1:6">
      <c r="A447" t="s">
        <v>573</v>
      </c>
      <c r="B447" t="s">
        <v>849</v>
      </c>
      <c r="C447" t="s">
        <v>850</v>
      </c>
      <c r="D447" s="1">
        <v>46191</v>
      </c>
      <c r="E447">
        <v>48257.06</v>
      </c>
      <c r="F447" t="s">
        <v>9</v>
      </c>
    </row>
    <row r="448" spans="1:6">
      <c r="A448" t="s">
        <v>573</v>
      </c>
      <c r="B448" t="s">
        <v>851</v>
      </c>
      <c r="C448" t="s">
        <v>852</v>
      </c>
      <c r="D448" s="1">
        <v>46191</v>
      </c>
      <c r="E448">
        <v>34507.449999999997</v>
      </c>
      <c r="F448" t="s">
        <v>9</v>
      </c>
    </row>
    <row r="449" spans="1:6">
      <c r="A449" t="s">
        <v>573</v>
      </c>
      <c r="B449" t="s">
        <v>853</v>
      </c>
      <c r="C449" t="s">
        <v>854</v>
      </c>
      <c r="D449" s="1">
        <v>46192</v>
      </c>
      <c r="E449">
        <v>381372.92</v>
      </c>
      <c r="F449" t="s">
        <v>9</v>
      </c>
    </row>
    <row r="450" spans="1:6">
      <c r="A450" t="s">
        <v>573</v>
      </c>
      <c r="B450" t="s">
        <v>855</v>
      </c>
      <c r="C450" t="s">
        <v>856</v>
      </c>
      <c r="D450" s="1">
        <v>46192</v>
      </c>
      <c r="E450">
        <v>70000.78</v>
      </c>
      <c r="F450" t="s">
        <v>9</v>
      </c>
    </row>
    <row r="451" spans="1:6">
      <c r="A451" t="s">
        <v>573</v>
      </c>
      <c r="B451" t="s">
        <v>857</v>
      </c>
      <c r="C451" t="s">
        <v>858</v>
      </c>
      <c r="D451" s="1">
        <v>46192</v>
      </c>
      <c r="E451">
        <v>367756.17</v>
      </c>
      <c r="F451" t="s">
        <v>9</v>
      </c>
    </row>
    <row r="452" spans="1:6">
      <c r="A452" t="s">
        <v>573</v>
      </c>
      <c r="B452" t="s">
        <v>859</v>
      </c>
      <c r="C452" t="s">
        <v>860</v>
      </c>
      <c r="D452" s="1">
        <v>46192</v>
      </c>
      <c r="E452">
        <v>441729.15</v>
      </c>
      <c r="F452" t="s">
        <v>26</v>
      </c>
    </row>
    <row r="453" spans="1:6">
      <c r="A453" t="s">
        <v>573</v>
      </c>
      <c r="B453" t="s">
        <v>861</v>
      </c>
      <c r="C453" t="s">
        <v>862</v>
      </c>
      <c r="D453" s="1">
        <v>46192</v>
      </c>
      <c r="E453">
        <v>127545.42</v>
      </c>
      <c r="F453" t="s">
        <v>16</v>
      </c>
    </row>
    <row r="454" spans="1:6">
      <c r="A454" t="s">
        <v>573</v>
      </c>
      <c r="B454" t="s">
        <v>863</v>
      </c>
      <c r="C454" t="s">
        <v>864</v>
      </c>
      <c r="D454" s="1">
        <v>46192</v>
      </c>
      <c r="E454">
        <v>629754.71</v>
      </c>
      <c r="F454" t="s">
        <v>9</v>
      </c>
    </row>
    <row r="455" spans="1:6">
      <c r="A455" t="s">
        <v>573</v>
      </c>
      <c r="B455" t="s">
        <v>865</v>
      </c>
      <c r="C455" t="s">
        <v>866</v>
      </c>
      <c r="D455" s="1">
        <v>46192</v>
      </c>
      <c r="E455">
        <v>88403.66</v>
      </c>
      <c r="F455" t="s">
        <v>9</v>
      </c>
    </row>
    <row r="456" spans="1:6">
      <c r="A456" t="s">
        <v>573</v>
      </c>
      <c r="B456" t="s">
        <v>867</v>
      </c>
      <c r="C456" t="s">
        <v>868</v>
      </c>
      <c r="D456" s="1">
        <v>46192</v>
      </c>
      <c r="E456">
        <v>15743.8</v>
      </c>
      <c r="F456" t="s">
        <v>9</v>
      </c>
    </row>
    <row r="457" spans="1:6">
      <c r="A457" t="s">
        <v>573</v>
      </c>
      <c r="B457" t="s">
        <v>869</v>
      </c>
      <c r="C457" t="s">
        <v>870</v>
      </c>
      <c r="D457" s="1">
        <v>46192</v>
      </c>
      <c r="E457">
        <v>25928.639999999999</v>
      </c>
      <c r="F457" t="s">
        <v>16</v>
      </c>
    </row>
    <row r="458" spans="1:6">
      <c r="A458" t="s">
        <v>573</v>
      </c>
      <c r="B458" t="s">
        <v>871</v>
      </c>
      <c r="C458" t="s">
        <v>872</v>
      </c>
      <c r="D458" s="1">
        <v>46192</v>
      </c>
      <c r="E458">
        <v>62714.21</v>
      </c>
      <c r="F458" t="s">
        <v>9</v>
      </c>
    </row>
    <row r="459" spans="1:6">
      <c r="A459" t="s">
        <v>573</v>
      </c>
      <c r="B459" t="s">
        <v>873</v>
      </c>
      <c r="C459" t="s">
        <v>874</v>
      </c>
      <c r="D459" s="1">
        <v>46193</v>
      </c>
      <c r="E459">
        <v>46852.58</v>
      </c>
      <c r="F459" t="s">
        <v>26</v>
      </c>
    </row>
    <row r="460" spans="1:6">
      <c r="A460" t="s">
        <v>573</v>
      </c>
      <c r="B460" t="s">
        <v>875</v>
      </c>
      <c r="C460" t="s">
        <v>876</v>
      </c>
      <c r="D460" s="1">
        <v>46193</v>
      </c>
      <c r="E460">
        <v>188316.16</v>
      </c>
      <c r="F460" t="s">
        <v>9</v>
      </c>
    </row>
    <row r="461" spans="1:6">
      <c r="A461" t="s">
        <v>573</v>
      </c>
      <c r="B461" t="s">
        <v>877</v>
      </c>
      <c r="C461" t="s">
        <v>878</v>
      </c>
      <c r="D461" s="1">
        <v>46193</v>
      </c>
      <c r="E461">
        <v>99141.17</v>
      </c>
      <c r="F461" t="s">
        <v>9</v>
      </c>
    </row>
    <row r="462" spans="1:6">
      <c r="A462" t="s">
        <v>573</v>
      </c>
      <c r="B462" t="s">
        <v>879</v>
      </c>
      <c r="C462" t="s">
        <v>880</v>
      </c>
      <c r="D462" s="1">
        <v>46193</v>
      </c>
      <c r="E462">
        <v>376336.97</v>
      </c>
      <c r="F462" t="s">
        <v>9</v>
      </c>
    </row>
    <row r="463" spans="1:6">
      <c r="A463" t="s">
        <v>573</v>
      </c>
      <c r="B463" t="s">
        <v>881</v>
      </c>
      <c r="C463" t="s">
        <v>882</v>
      </c>
      <c r="D463" s="1">
        <v>46193</v>
      </c>
      <c r="E463">
        <v>2000000</v>
      </c>
      <c r="F463" t="s">
        <v>26</v>
      </c>
    </row>
    <row r="464" spans="1:6">
      <c r="A464" t="s">
        <v>573</v>
      </c>
      <c r="B464" t="s">
        <v>883</v>
      </c>
      <c r="C464" t="s">
        <v>884</v>
      </c>
      <c r="D464" s="1">
        <v>46193</v>
      </c>
      <c r="E464">
        <v>693618.24</v>
      </c>
      <c r="F464" t="s">
        <v>9</v>
      </c>
    </row>
    <row r="465" spans="1:6">
      <c r="A465" t="s">
        <v>573</v>
      </c>
      <c r="B465" t="s">
        <v>885</v>
      </c>
      <c r="C465" t="s">
        <v>886</v>
      </c>
      <c r="D465" s="1">
        <v>46193</v>
      </c>
      <c r="E465">
        <v>318771.65000000002</v>
      </c>
      <c r="F465" t="s">
        <v>9</v>
      </c>
    </row>
    <row r="466" spans="1:6">
      <c r="A466" t="s">
        <v>573</v>
      </c>
      <c r="B466" t="s">
        <v>887</v>
      </c>
      <c r="C466" t="s">
        <v>888</v>
      </c>
      <c r="D466" s="1">
        <v>46193</v>
      </c>
      <c r="E466">
        <v>43707.519999999997</v>
      </c>
      <c r="F466" t="s">
        <v>16</v>
      </c>
    </row>
    <row r="467" spans="1:6">
      <c r="A467" t="s">
        <v>573</v>
      </c>
      <c r="B467" t="s">
        <v>889</v>
      </c>
      <c r="C467" t="s">
        <v>890</v>
      </c>
      <c r="D467" s="1">
        <v>46193</v>
      </c>
      <c r="E467">
        <v>42357.94</v>
      </c>
      <c r="F467" t="s">
        <v>26</v>
      </c>
    </row>
    <row r="468" spans="1:6">
      <c r="A468" t="s">
        <v>573</v>
      </c>
      <c r="B468" t="s">
        <v>891</v>
      </c>
      <c r="C468" t="s">
        <v>892</v>
      </c>
      <c r="D468" s="1">
        <v>46193</v>
      </c>
      <c r="E468">
        <v>52923.07</v>
      </c>
      <c r="F468" t="s">
        <v>9</v>
      </c>
    </row>
    <row r="469" spans="1:6">
      <c r="A469" t="s">
        <v>573</v>
      </c>
      <c r="B469" t="s">
        <v>893</v>
      </c>
      <c r="C469" t="s">
        <v>894</v>
      </c>
      <c r="D469" s="1">
        <v>46193</v>
      </c>
      <c r="E469">
        <v>61381.15</v>
      </c>
      <c r="F469" t="s">
        <v>9</v>
      </c>
    </row>
    <row r="470" spans="1:6">
      <c r="A470" t="s">
        <v>573</v>
      </c>
      <c r="B470" t="s">
        <v>895</v>
      </c>
      <c r="C470" t="s">
        <v>896</v>
      </c>
      <c r="D470" s="1">
        <v>46194</v>
      </c>
      <c r="E470">
        <v>287171.09000000003</v>
      </c>
      <c r="F470" t="s">
        <v>9</v>
      </c>
    </row>
    <row r="471" spans="1:6">
      <c r="A471" t="s">
        <v>573</v>
      </c>
      <c r="B471" t="s">
        <v>897</v>
      </c>
      <c r="C471" t="s">
        <v>898</v>
      </c>
      <c r="D471" s="1">
        <v>46194</v>
      </c>
      <c r="E471">
        <v>12340.39</v>
      </c>
      <c r="F471" t="s">
        <v>9</v>
      </c>
    </row>
    <row r="472" spans="1:6">
      <c r="A472" t="s">
        <v>573</v>
      </c>
      <c r="B472" t="s">
        <v>899</v>
      </c>
      <c r="C472" t="s">
        <v>900</v>
      </c>
      <c r="D472" s="1">
        <v>46194</v>
      </c>
      <c r="E472">
        <v>233623.98</v>
      </c>
      <c r="F472" t="s">
        <v>9</v>
      </c>
    </row>
    <row r="473" spans="1:6">
      <c r="A473" t="s">
        <v>573</v>
      </c>
      <c r="B473" t="s">
        <v>901</v>
      </c>
      <c r="C473" t="s">
        <v>616</v>
      </c>
      <c r="D473" s="1">
        <v>46194</v>
      </c>
      <c r="E473">
        <v>183286.07</v>
      </c>
      <c r="F473" t="s">
        <v>9</v>
      </c>
    </row>
    <row r="474" spans="1:6">
      <c r="A474" t="s">
        <v>573</v>
      </c>
      <c r="B474" t="s">
        <v>902</v>
      </c>
      <c r="C474" t="s">
        <v>903</v>
      </c>
      <c r="D474" s="1">
        <v>46194</v>
      </c>
      <c r="E474">
        <v>280496.21000000002</v>
      </c>
      <c r="F474" t="s">
        <v>16</v>
      </c>
    </row>
    <row r="475" spans="1:6">
      <c r="A475" t="s">
        <v>573</v>
      </c>
      <c r="B475" t="s">
        <v>904</v>
      </c>
      <c r="C475" t="s">
        <v>905</v>
      </c>
      <c r="D475" s="1">
        <v>46194</v>
      </c>
      <c r="E475">
        <v>62629.440000000002</v>
      </c>
      <c r="F475" t="s">
        <v>9</v>
      </c>
    </row>
    <row r="476" spans="1:6">
      <c r="A476" t="s">
        <v>573</v>
      </c>
      <c r="B476" t="s">
        <v>906</v>
      </c>
      <c r="C476" t="s">
        <v>770</v>
      </c>
      <c r="D476" s="1">
        <v>46194</v>
      </c>
      <c r="E476">
        <v>26140.85</v>
      </c>
      <c r="F476" t="s">
        <v>26</v>
      </c>
    </row>
    <row r="477" spans="1:6">
      <c r="A477" t="s">
        <v>573</v>
      </c>
      <c r="B477" t="s">
        <v>907</v>
      </c>
      <c r="C477" t="s">
        <v>908</v>
      </c>
      <c r="D477" s="1">
        <v>46194</v>
      </c>
      <c r="E477">
        <v>1061018.58</v>
      </c>
      <c r="F477" t="s">
        <v>9</v>
      </c>
    </row>
    <row r="478" spans="1:6">
      <c r="A478" t="s">
        <v>573</v>
      </c>
      <c r="B478" t="s">
        <v>909</v>
      </c>
      <c r="C478" t="s">
        <v>910</v>
      </c>
      <c r="D478" s="1">
        <v>46194</v>
      </c>
      <c r="E478">
        <v>205074.12</v>
      </c>
      <c r="F478" t="s">
        <v>16</v>
      </c>
    </row>
    <row r="479" spans="1:6">
      <c r="A479" t="s">
        <v>573</v>
      </c>
      <c r="B479" t="s">
        <v>911</v>
      </c>
      <c r="C479" t="s">
        <v>912</v>
      </c>
      <c r="D479" s="1">
        <v>46194</v>
      </c>
      <c r="E479">
        <v>265875.95</v>
      </c>
      <c r="F479" t="s">
        <v>9</v>
      </c>
    </row>
    <row r="480" spans="1:6">
      <c r="A480" t="s">
        <v>573</v>
      </c>
      <c r="B480" t="s">
        <v>913</v>
      </c>
      <c r="C480" t="s">
        <v>914</v>
      </c>
      <c r="D480" s="1">
        <v>46194</v>
      </c>
      <c r="E480">
        <v>226596.1</v>
      </c>
      <c r="F480" t="s">
        <v>16</v>
      </c>
    </row>
    <row r="481" spans="1:6">
      <c r="A481" t="s">
        <v>573</v>
      </c>
      <c r="B481" t="s">
        <v>915</v>
      </c>
      <c r="C481" t="s">
        <v>916</v>
      </c>
      <c r="D481" s="1">
        <v>46194</v>
      </c>
      <c r="E481">
        <v>5017.12</v>
      </c>
      <c r="F481" t="s">
        <v>9</v>
      </c>
    </row>
    <row r="482" spans="1:6">
      <c r="A482" t="s">
        <v>573</v>
      </c>
      <c r="B482" t="s">
        <v>917</v>
      </c>
      <c r="C482" t="s">
        <v>918</v>
      </c>
      <c r="D482" s="1">
        <v>46194</v>
      </c>
      <c r="E482">
        <v>6795.51</v>
      </c>
      <c r="F482" t="s">
        <v>16</v>
      </c>
    </row>
    <row r="483" spans="1:6">
      <c r="A483" t="s">
        <v>573</v>
      </c>
      <c r="B483" t="s">
        <v>919</v>
      </c>
      <c r="C483" t="s">
        <v>920</v>
      </c>
      <c r="D483" s="1">
        <v>46194</v>
      </c>
      <c r="E483">
        <v>71936.479999999996</v>
      </c>
      <c r="F483" t="s">
        <v>9</v>
      </c>
    </row>
    <row r="484" spans="1:6">
      <c r="A484" t="s">
        <v>573</v>
      </c>
      <c r="B484" t="s">
        <v>921</v>
      </c>
      <c r="C484" t="s">
        <v>922</v>
      </c>
      <c r="D484" s="1">
        <v>46194</v>
      </c>
      <c r="E484">
        <v>19972.14</v>
      </c>
      <c r="F484" t="s">
        <v>9</v>
      </c>
    </row>
    <row r="485" spans="1:6">
      <c r="A485" t="s">
        <v>573</v>
      </c>
      <c r="B485" t="s">
        <v>923</v>
      </c>
      <c r="C485" t="s">
        <v>924</v>
      </c>
      <c r="D485" s="1">
        <v>46195</v>
      </c>
      <c r="E485">
        <v>200270.59</v>
      </c>
      <c r="F485" t="s">
        <v>9</v>
      </c>
    </row>
    <row r="486" spans="1:6">
      <c r="A486" t="s">
        <v>573</v>
      </c>
      <c r="B486" t="s">
        <v>925</v>
      </c>
      <c r="C486" t="s">
        <v>926</v>
      </c>
      <c r="D486" s="1">
        <v>46195</v>
      </c>
      <c r="E486">
        <v>804378.14</v>
      </c>
      <c r="F486" t="s">
        <v>9</v>
      </c>
    </row>
    <row r="487" spans="1:6">
      <c r="A487" t="s">
        <v>573</v>
      </c>
      <c r="B487" t="s">
        <v>927</v>
      </c>
      <c r="C487" t="s">
        <v>928</v>
      </c>
      <c r="D487" s="1">
        <v>46195</v>
      </c>
      <c r="E487">
        <v>32175.37</v>
      </c>
      <c r="F487" t="s">
        <v>26</v>
      </c>
    </row>
    <row r="488" spans="1:6">
      <c r="A488" t="s">
        <v>573</v>
      </c>
      <c r="B488" t="s">
        <v>929</v>
      </c>
      <c r="C488" t="s">
        <v>930</v>
      </c>
      <c r="D488" s="1">
        <v>46196</v>
      </c>
      <c r="E488">
        <v>903112.74</v>
      </c>
      <c r="F488" t="s">
        <v>9</v>
      </c>
    </row>
    <row r="489" spans="1:6">
      <c r="A489" t="s">
        <v>573</v>
      </c>
      <c r="B489" t="s">
        <v>931</v>
      </c>
      <c r="C489" t="s">
        <v>932</v>
      </c>
      <c r="D489" s="1">
        <v>46196</v>
      </c>
      <c r="E489">
        <v>168201.88</v>
      </c>
      <c r="F489" t="s">
        <v>9</v>
      </c>
    </row>
    <row r="490" spans="1:6">
      <c r="A490" t="s">
        <v>573</v>
      </c>
      <c r="B490" t="s">
        <v>933</v>
      </c>
      <c r="C490" t="s">
        <v>934</v>
      </c>
      <c r="D490" s="1">
        <v>46196</v>
      </c>
      <c r="E490">
        <v>231039.14</v>
      </c>
      <c r="F490" t="s">
        <v>9</v>
      </c>
    </row>
    <row r="491" spans="1:6">
      <c r="A491" t="s">
        <v>573</v>
      </c>
      <c r="B491" t="s">
        <v>935</v>
      </c>
      <c r="C491" t="s">
        <v>936</v>
      </c>
      <c r="D491" s="1">
        <v>46196</v>
      </c>
      <c r="E491">
        <v>177914.98</v>
      </c>
      <c r="F491" t="s">
        <v>16</v>
      </c>
    </row>
    <row r="492" spans="1:6">
      <c r="A492" t="s">
        <v>573</v>
      </c>
      <c r="B492" t="s">
        <v>937</v>
      </c>
      <c r="C492" t="s">
        <v>938</v>
      </c>
      <c r="D492" s="1">
        <v>46196</v>
      </c>
      <c r="E492">
        <v>428875.04</v>
      </c>
      <c r="F492" t="s">
        <v>16</v>
      </c>
    </row>
    <row r="493" spans="1:6">
      <c r="A493" t="s">
        <v>573</v>
      </c>
      <c r="B493" t="s">
        <v>939</v>
      </c>
      <c r="C493" t="s">
        <v>940</v>
      </c>
      <c r="D493" s="1">
        <v>46196</v>
      </c>
      <c r="E493">
        <v>65844.84</v>
      </c>
      <c r="F493" t="s">
        <v>9</v>
      </c>
    </row>
    <row r="494" spans="1:6">
      <c r="A494" t="s">
        <v>573</v>
      </c>
      <c r="B494" t="s">
        <v>941</v>
      </c>
      <c r="C494" t="s">
        <v>942</v>
      </c>
      <c r="D494" s="1">
        <v>46196</v>
      </c>
      <c r="E494">
        <v>37164</v>
      </c>
      <c r="F494" t="s">
        <v>9</v>
      </c>
    </row>
    <row r="495" spans="1:6">
      <c r="A495" t="s">
        <v>573</v>
      </c>
      <c r="B495" t="s">
        <v>943</v>
      </c>
      <c r="C495" t="s">
        <v>944</v>
      </c>
      <c r="D495" s="1">
        <v>46196</v>
      </c>
      <c r="E495">
        <v>156706.29999999999</v>
      </c>
      <c r="F495" t="s">
        <v>16</v>
      </c>
    </row>
    <row r="496" spans="1:6">
      <c r="A496" t="s">
        <v>573</v>
      </c>
      <c r="B496" t="s">
        <v>945</v>
      </c>
      <c r="C496" t="s">
        <v>946</v>
      </c>
      <c r="D496" s="1">
        <v>46196</v>
      </c>
      <c r="E496">
        <v>116698.12</v>
      </c>
      <c r="F496" t="s">
        <v>26</v>
      </c>
    </row>
    <row r="497" spans="1:6">
      <c r="A497" t="s">
        <v>573</v>
      </c>
      <c r="B497" t="s">
        <v>947</v>
      </c>
      <c r="C497" t="s">
        <v>948</v>
      </c>
      <c r="D497" s="1">
        <v>46196</v>
      </c>
      <c r="E497">
        <v>202019.17</v>
      </c>
      <c r="F497" t="s">
        <v>16</v>
      </c>
    </row>
    <row r="498" spans="1:6">
      <c r="A498" t="s">
        <v>573</v>
      </c>
      <c r="B498" t="s">
        <v>949</v>
      </c>
      <c r="C498" t="s">
        <v>950</v>
      </c>
      <c r="D498" s="1">
        <v>46197</v>
      </c>
      <c r="E498">
        <v>548878.47</v>
      </c>
      <c r="F498" t="s">
        <v>9</v>
      </c>
    </row>
    <row r="499" spans="1:6">
      <c r="A499" t="s">
        <v>573</v>
      </c>
      <c r="B499" t="s">
        <v>951</v>
      </c>
      <c r="C499" t="s">
        <v>952</v>
      </c>
      <c r="D499" s="1">
        <v>46197</v>
      </c>
      <c r="E499">
        <v>73227.23</v>
      </c>
      <c r="F499" t="s">
        <v>16</v>
      </c>
    </row>
    <row r="500" spans="1:6">
      <c r="A500" t="s">
        <v>573</v>
      </c>
      <c r="B500" t="s">
        <v>953</v>
      </c>
      <c r="C500" t="s">
        <v>954</v>
      </c>
      <c r="D500" s="1">
        <v>46197</v>
      </c>
      <c r="E500">
        <v>265345.81</v>
      </c>
      <c r="F500" t="s">
        <v>9</v>
      </c>
    </row>
    <row r="501" spans="1:6">
      <c r="A501" t="s">
        <v>573</v>
      </c>
      <c r="B501" t="s">
        <v>955</v>
      </c>
      <c r="C501" t="s">
        <v>956</v>
      </c>
      <c r="D501" s="1">
        <v>46197</v>
      </c>
      <c r="E501">
        <v>285859.62</v>
      </c>
      <c r="F501" t="s">
        <v>16</v>
      </c>
    </row>
    <row r="502" spans="1:6">
      <c r="A502" t="s">
        <v>573</v>
      </c>
      <c r="B502" t="s">
        <v>957</v>
      </c>
      <c r="C502" t="s">
        <v>958</v>
      </c>
      <c r="D502" s="1">
        <v>46197</v>
      </c>
      <c r="E502">
        <v>161582.82999999999</v>
      </c>
      <c r="F502" t="s">
        <v>9</v>
      </c>
    </row>
    <row r="503" spans="1:6">
      <c r="A503" t="s">
        <v>573</v>
      </c>
      <c r="B503" t="s">
        <v>959</v>
      </c>
      <c r="C503" t="s">
        <v>960</v>
      </c>
      <c r="D503" s="1">
        <v>46197</v>
      </c>
      <c r="E503">
        <v>35085.94</v>
      </c>
      <c r="F503" t="s">
        <v>16</v>
      </c>
    </row>
    <row r="504" spans="1:6">
      <c r="A504" t="s">
        <v>573</v>
      </c>
      <c r="B504" t="s">
        <v>961</v>
      </c>
      <c r="C504" t="s">
        <v>886</v>
      </c>
      <c r="D504" s="1">
        <v>46197</v>
      </c>
      <c r="E504">
        <v>695847.01</v>
      </c>
      <c r="F504" t="s">
        <v>9</v>
      </c>
    </row>
    <row r="505" spans="1:6">
      <c r="A505" t="s">
        <v>573</v>
      </c>
      <c r="B505" t="s">
        <v>962</v>
      </c>
      <c r="C505" t="s">
        <v>963</v>
      </c>
      <c r="D505" s="1">
        <v>46197</v>
      </c>
      <c r="E505">
        <v>66426.899999999994</v>
      </c>
      <c r="F505" t="s">
        <v>9</v>
      </c>
    </row>
    <row r="506" spans="1:6">
      <c r="A506" t="s">
        <v>573</v>
      </c>
      <c r="B506" t="s">
        <v>964</v>
      </c>
      <c r="C506" t="s">
        <v>965</v>
      </c>
      <c r="D506" s="1">
        <v>46197</v>
      </c>
      <c r="E506">
        <v>244881.87</v>
      </c>
      <c r="F506" t="s">
        <v>26</v>
      </c>
    </row>
    <row r="507" spans="1:6">
      <c r="A507" t="s">
        <v>573</v>
      </c>
      <c r="B507" t="s">
        <v>966</v>
      </c>
      <c r="C507" t="s">
        <v>967</v>
      </c>
      <c r="D507" s="1">
        <v>46197</v>
      </c>
      <c r="E507">
        <v>271670.45</v>
      </c>
      <c r="F507" t="s">
        <v>9</v>
      </c>
    </row>
    <row r="508" spans="1:6">
      <c r="A508" t="s">
        <v>573</v>
      </c>
      <c r="B508" t="s">
        <v>968</v>
      </c>
      <c r="C508" t="s">
        <v>969</v>
      </c>
      <c r="D508" s="1">
        <v>46197</v>
      </c>
      <c r="E508">
        <v>50151.85</v>
      </c>
      <c r="F508" t="s">
        <v>16</v>
      </c>
    </row>
    <row r="509" spans="1:6">
      <c r="A509" t="s">
        <v>573</v>
      </c>
      <c r="B509" t="s">
        <v>970</v>
      </c>
      <c r="C509" t="s">
        <v>971</v>
      </c>
      <c r="D509" s="1">
        <v>46197</v>
      </c>
      <c r="E509">
        <v>9631.1</v>
      </c>
      <c r="F509" t="s">
        <v>9</v>
      </c>
    </row>
    <row r="510" spans="1:6">
      <c r="A510" t="s">
        <v>573</v>
      </c>
      <c r="B510" t="s">
        <v>972</v>
      </c>
      <c r="C510" t="s">
        <v>973</v>
      </c>
      <c r="D510" s="1">
        <v>46197</v>
      </c>
      <c r="E510">
        <v>127332.22</v>
      </c>
      <c r="F510" t="s">
        <v>16</v>
      </c>
    </row>
    <row r="511" spans="1:6">
      <c r="A511" t="s">
        <v>573</v>
      </c>
      <c r="B511" t="s">
        <v>974</v>
      </c>
      <c r="C511" t="s">
        <v>975</v>
      </c>
      <c r="D511" s="1">
        <v>46197</v>
      </c>
      <c r="E511">
        <v>55500.18</v>
      </c>
      <c r="F511" t="s">
        <v>16</v>
      </c>
    </row>
    <row r="512" spans="1:6">
      <c r="A512" t="s">
        <v>573</v>
      </c>
      <c r="B512" t="s">
        <v>976</v>
      </c>
      <c r="C512" t="s">
        <v>977</v>
      </c>
      <c r="D512" s="1">
        <v>46197</v>
      </c>
      <c r="E512">
        <v>793569.64</v>
      </c>
      <c r="F512" t="s">
        <v>9</v>
      </c>
    </row>
    <row r="513" spans="1:6">
      <c r="A513" t="s">
        <v>573</v>
      </c>
      <c r="B513" t="s">
        <v>978</v>
      </c>
      <c r="C513" t="s">
        <v>850</v>
      </c>
      <c r="D513" s="1">
        <v>46197</v>
      </c>
      <c r="E513">
        <v>25141.26</v>
      </c>
      <c r="F513" t="s">
        <v>26</v>
      </c>
    </row>
    <row r="514" spans="1:6">
      <c r="A514" t="s">
        <v>573</v>
      </c>
      <c r="B514" t="s">
        <v>979</v>
      </c>
      <c r="C514" t="s">
        <v>980</v>
      </c>
      <c r="D514" s="1">
        <v>46197</v>
      </c>
      <c r="E514">
        <v>37988.720000000001</v>
      </c>
      <c r="F514" t="s">
        <v>9</v>
      </c>
    </row>
    <row r="515" spans="1:6">
      <c r="A515" t="s">
        <v>573</v>
      </c>
      <c r="B515" t="s">
        <v>981</v>
      </c>
      <c r="C515" t="s">
        <v>452</v>
      </c>
      <c r="D515" s="1">
        <v>46198</v>
      </c>
      <c r="E515">
        <v>21831.53</v>
      </c>
      <c r="F515" t="s">
        <v>26</v>
      </c>
    </row>
    <row r="516" spans="1:6">
      <c r="A516" t="s">
        <v>573</v>
      </c>
      <c r="B516" t="s">
        <v>982</v>
      </c>
      <c r="C516" t="s">
        <v>983</v>
      </c>
      <c r="D516" s="1">
        <v>46198</v>
      </c>
      <c r="E516">
        <v>17789.849999999999</v>
      </c>
      <c r="F516" t="s">
        <v>9</v>
      </c>
    </row>
    <row r="517" spans="1:6">
      <c r="A517" t="s">
        <v>573</v>
      </c>
      <c r="B517" t="s">
        <v>984</v>
      </c>
      <c r="C517" t="s">
        <v>985</v>
      </c>
      <c r="D517" s="1">
        <v>46198</v>
      </c>
      <c r="E517">
        <v>119629.29</v>
      </c>
      <c r="F517" t="s">
        <v>16</v>
      </c>
    </row>
    <row r="518" spans="1:6">
      <c r="A518" t="s">
        <v>573</v>
      </c>
      <c r="B518" t="s">
        <v>986</v>
      </c>
      <c r="C518" t="s">
        <v>987</v>
      </c>
      <c r="D518" s="1">
        <v>46198</v>
      </c>
      <c r="E518">
        <v>805163.25</v>
      </c>
      <c r="F518" t="s">
        <v>9</v>
      </c>
    </row>
    <row r="519" spans="1:6">
      <c r="A519" t="s">
        <v>573</v>
      </c>
      <c r="B519" t="s">
        <v>988</v>
      </c>
      <c r="C519" t="s">
        <v>989</v>
      </c>
      <c r="D519" s="1">
        <v>46198</v>
      </c>
      <c r="E519">
        <v>92655.41</v>
      </c>
      <c r="F519" t="s">
        <v>9</v>
      </c>
    </row>
    <row r="520" spans="1:6">
      <c r="A520" t="s">
        <v>573</v>
      </c>
      <c r="B520" t="s">
        <v>990</v>
      </c>
      <c r="C520" t="s">
        <v>991</v>
      </c>
      <c r="D520" s="1">
        <v>46198</v>
      </c>
      <c r="E520">
        <v>98010.95</v>
      </c>
      <c r="F520" t="s">
        <v>9</v>
      </c>
    </row>
    <row r="521" spans="1:6">
      <c r="A521" t="s">
        <v>573</v>
      </c>
      <c r="B521" t="s">
        <v>992</v>
      </c>
      <c r="C521" t="s">
        <v>993</v>
      </c>
      <c r="D521" s="1">
        <v>46198</v>
      </c>
      <c r="E521">
        <v>79157.679999999993</v>
      </c>
      <c r="F521" t="s">
        <v>9</v>
      </c>
    </row>
    <row r="522" spans="1:6">
      <c r="A522" t="s">
        <v>573</v>
      </c>
      <c r="B522" t="s">
        <v>994</v>
      </c>
      <c r="C522" t="s">
        <v>995</v>
      </c>
      <c r="D522" s="1">
        <v>46198</v>
      </c>
      <c r="E522">
        <v>144742.39000000001</v>
      </c>
      <c r="F522" t="s">
        <v>9</v>
      </c>
    </row>
    <row r="523" spans="1:6">
      <c r="A523" t="s">
        <v>573</v>
      </c>
      <c r="B523" t="s">
        <v>996</v>
      </c>
      <c r="C523" t="s">
        <v>997</v>
      </c>
      <c r="D523" s="1">
        <v>46198</v>
      </c>
      <c r="E523">
        <v>7922.64</v>
      </c>
      <c r="F523" t="s">
        <v>16</v>
      </c>
    </row>
    <row r="524" spans="1:6">
      <c r="A524" t="s">
        <v>573</v>
      </c>
      <c r="B524" t="s">
        <v>998</v>
      </c>
      <c r="C524" t="s">
        <v>801</v>
      </c>
      <c r="D524" s="1">
        <v>46198</v>
      </c>
      <c r="E524">
        <v>8142.72</v>
      </c>
      <c r="F524" t="s">
        <v>26</v>
      </c>
    </row>
    <row r="525" spans="1:6">
      <c r="A525" t="s">
        <v>573</v>
      </c>
      <c r="B525" t="s">
        <v>999</v>
      </c>
      <c r="C525" t="s">
        <v>1000</v>
      </c>
      <c r="D525" s="1">
        <v>46198</v>
      </c>
      <c r="E525">
        <v>5980.54</v>
      </c>
      <c r="F525" t="s">
        <v>26</v>
      </c>
    </row>
    <row r="526" spans="1:6">
      <c r="A526" t="s">
        <v>573</v>
      </c>
      <c r="B526" t="s">
        <v>1001</v>
      </c>
      <c r="C526" t="s">
        <v>1002</v>
      </c>
      <c r="D526" s="1">
        <v>46198</v>
      </c>
      <c r="E526">
        <v>94065.23</v>
      </c>
      <c r="F526" t="s">
        <v>9</v>
      </c>
    </row>
    <row r="527" spans="1:6">
      <c r="A527" t="s">
        <v>573</v>
      </c>
      <c r="B527" t="s">
        <v>1003</v>
      </c>
      <c r="C527" t="s">
        <v>1004</v>
      </c>
      <c r="D527" s="1">
        <v>46199</v>
      </c>
      <c r="E527">
        <v>34936.22</v>
      </c>
      <c r="F527" t="s">
        <v>16</v>
      </c>
    </row>
    <row r="528" spans="1:6">
      <c r="A528" t="s">
        <v>573</v>
      </c>
      <c r="B528" t="s">
        <v>1005</v>
      </c>
      <c r="C528" t="s">
        <v>1006</v>
      </c>
      <c r="D528" s="1">
        <v>46199</v>
      </c>
      <c r="E528">
        <v>153289.35</v>
      </c>
      <c r="F528" t="s">
        <v>9</v>
      </c>
    </row>
    <row r="529" spans="1:6">
      <c r="A529" t="s">
        <v>573</v>
      </c>
      <c r="B529" t="s">
        <v>1007</v>
      </c>
      <c r="C529" t="s">
        <v>1008</v>
      </c>
      <c r="D529" s="1">
        <v>46199</v>
      </c>
      <c r="E529">
        <v>63851.69</v>
      </c>
      <c r="F529" t="s">
        <v>16</v>
      </c>
    </row>
    <row r="530" spans="1:6">
      <c r="A530" t="s">
        <v>573</v>
      </c>
      <c r="B530" t="s">
        <v>1009</v>
      </c>
      <c r="C530" t="s">
        <v>1010</v>
      </c>
      <c r="D530" s="1">
        <v>46199</v>
      </c>
      <c r="E530">
        <v>1628413</v>
      </c>
      <c r="F530" t="s">
        <v>9</v>
      </c>
    </row>
    <row r="531" spans="1:6">
      <c r="A531" t="s">
        <v>573</v>
      </c>
      <c r="B531" t="s">
        <v>1011</v>
      </c>
      <c r="C531" t="s">
        <v>1012</v>
      </c>
      <c r="D531" s="1">
        <v>46199</v>
      </c>
      <c r="E531">
        <v>18865.080000000002</v>
      </c>
      <c r="F531" t="s">
        <v>9</v>
      </c>
    </row>
    <row r="532" spans="1:6">
      <c r="A532" t="s">
        <v>573</v>
      </c>
      <c r="B532" t="s">
        <v>1013</v>
      </c>
      <c r="C532" t="s">
        <v>1014</v>
      </c>
      <c r="D532" s="1">
        <v>46199</v>
      </c>
      <c r="E532">
        <v>66099.12</v>
      </c>
      <c r="F532" t="s">
        <v>26</v>
      </c>
    </row>
    <row r="533" spans="1:6">
      <c r="A533" t="s">
        <v>573</v>
      </c>
      <c r="B533" t="s">
        <v>1015</v>
      </c>
      <c r="C533" t="s">
        <v>1016</v>
      </c>
      <c r="D533" s="1">
        <v>46199</v>
      </c>
      <c r="E533">
        <v>421004.92</v>
      </c>
      <c r="F533" t="s">
        <v>9</v>
      </c>
    </row>
    <row r="534" spans="1:6">
      <c r="A534" t="s">
        <v>573</v>
      </c>
      <c r="B534" t="s">
        <v>1017</v>
      </c>
      <c r="C534" t="s">
        <v>657</v>
      </c>
      <c r="D534" s="1">
        <v>46199</v>
      </c>
      <c r="E534">
        <v>235968.82</v>
      </c>
      <c r="F534" t="s">
        <v>16</v>
      </c>
    </row>
    <row r="535" spans="1:6">
      <c r="A535" t="s">
        <v>573</v>
      </c>
      <c r="B535" t="s">
        <v>1018</v>
      </c>
      <c r="C535" t="s">
        <v>1019</v>
      </c>
      <c r="D535" s="1">
        <v>46199</v>
      </c>
      <c r="E535">
        <v>56085.31</v>
      </c>
      <c r="F535" t="s">
        <v>16</v>
      </c>
    </row>
    <row r="536" spans="1:6">
      <c r="A536" t="s">
        <v>573</v>
      </c>
      <c r="B536" t="s">
        <v>1020</v>
      </c>
      <c r="C536" t="s">
        <v>1021</v>
      </c>
      <c r="D536" s="1">
        <v>46199</v>
      </c>
      <c r="E536">
        <v>10075.33</v>
      </c>
      <c r="F536" t="s">
        <v>16</v>
      </c>
    </row>
    <row r="537" spans="1:6">
      <c r="A537" t="s">
        <v>573</v>
      </c>
      <c r="B537" t="s">
        <v>1022</v>
      </c>
      <c r="C537" t="s">
        <v>1023</v>
      </c>
      <c r="D537" s="1">
        <v>46199</v>
      </c>
      <c r="E537">
        <v>92754.41</v>
      </c>
      <c r="F537" t="s">
        <v>16</v>
      </c>
    </row>
    <row r="538" spans="1:6">
      <c r="A538" t="s">
        <v>573</v>
      </c>
      <c r="B538" t="s">
        <v>1024</v>
      </c>
      <c r="C538" t="s">
        <v>1025</v>
      </c>
      <c r="D538" s="1">
        <v>46199</v>
      </c>
      <c r="E538">
        <v>606590.13</v>
      </c>
      <c r="F538" t="s">
        <v>16</v>
      </c>
    </row>
    <row r="539" spans="1:6">
      <c r="A539" t="s">
        <v>573</v>
      </c>
      <c r="B539" t="s">
        <v>1026</v>
      </c>
      <c r="C539" t="s">
        <v>1027</v>
      </c>
      <c r="D539" s="1">
        <v>46199</v>
      </c>
      <c r="E539">
        <v>705496.9</v>
      </c>
      <c r="F539" t="s">
        <v>9</v>
      </c>
    </row>
    <row r="540" spans="1:6">
      <c r="A540" t="s">
        <v>573</v>
      </c>
      <c r="B540" t="s">
        <v>1028</v>
      </c>
      <c r="C540" t="s">
        <v>1027</v>
      </c>
      <c r="D540" s="1">
        <v>46199</v>
      </c>
      <c r="E540">
        <v>759870.16</v>
      </c>
      <c r="F540" t="s">
        <v>26</v>
      </c>
    </row>
    <row r="541" spans="1:6">
      <c r="A541" t="s">
        <v>573</v>
      </c>
      <c r="B541" t="s">
        <v>1029</v>
      </c>
      <c r="C541" t="s">
        <v>1030</v>
      </c>
      <c r="D541" s="1">
        <v>46199</v>
      </c>
      <c r="E541">
        <v>30815.64</v>
      </c>
      <c r="F541" t="s">
        <v>9</v>
      </c>
    </row>
    <row r="542" spans="1:6">
      <c r="A542" t="s">
        <v>573</v>
      </c>
      <c r="B542" t="s">
        <v>1031</v>
      </c>
      <c r="C542" t="s">
        <v>1032</v>
      </c>
      <c r="D542" s="1">
        <v>46200</v>
      </c>
      <c r="E542">
        <v>38556.300000000003</v>
      </c>
      <c r="F542" t="s">
        <v>26</v>
      </c>
    </row>
    <row r="543" spans="1:6">
      <c r="A543" t="s">
        <v>573</v>
      </c>
      <c r="B543" t="s">
        <v>1033</v>
      </c>
      <c r="C543" t="s">
        <v>991</v>
      </c>
      <c r="D543" s="1">
        <v>46200</v>
      </c>
      <c r="E543">
        <v>80617.83</v>
      </c>
      <c r="F543" t="s">
        <v>9</v>
      </c>
    </row>
    <row r="544" spans="1:6">
      <c r="A544" t="s">
        <v>573</v>
      </c>
      <c r="B544" t="s">
        <v>1034</v>
      </c>
      <c r="C544" t="s">
        <v>1035</v>
      </c>
      <c r="D544" s="1">
        <v>46200</v>
      </c>
      <c r="E544">
        <v>282591.43</v>
      </c>
      <c r="F544" t="s">
        <v>9</v>
      </c>
    </row>
    <row r="545" spans="1:6">
      <c r="A545" t="s">
        <v>573</v>
      </c>
      <c r="B545" t="s">
        <v>1036</v>
      </c>
      <c r="C545" t="s">
        <v>1037</v>
      </c>
      <c r="D545" s="1">
        <v>46200</v>
      </c>
      <c r="E545">
        <v>21224.720000000001</v>
      </c>
      <c r="F545" t="s">
        <v>26</v>
      </c>
    </row>
    <row r="546" spans="1:6">
      <c r="A546" t="s">
        <v>573</v>
      </c>
      <c r="B546" t="s">
        <v>1038</v>
      </c>
      <c r="C546" t="s">
        <v>1039</v>
      </c>
      <c r="D546" s="1">
        <v>46200</v>
      </c>
      <c r="E546">
        <v>28596.47</v>
      </c>
      <c r="F546" t="s">
        <v>9</v>
      </c>
    </row>
    <row r="547" spans="1:6">
      <c r="A547" t="s">
        <v>573</v>
      </c>
      <c r="B547" t="s">
        <v>1040</v>
      </c>
      <c r="C547" t="s">
        <v>1041</v>
      </c>
      <c r="D547" s="1">
        <v>46201</v>
      </c>
      <c r="E547">
        <v>87877.61</v>
      </c>
      <c r="F547" t="s">
        <v>9</v>
      </c>
    </row>
    <row r="548" spans="1:6">
      <c r="A548" t="s">
        <v>573</v>
      </c>
      <c r="B548" t="s">
        <v>1042</v>
      </c>
      <c r="C548" t="s">
        <v>1043</v>
      </c>
      <c r="D548" s="1">
        <v>46201</v>
      </c>
      <c r="E548">
        <v>340829.83</v>
      </c>
      <c r="F548" t="s">
        <v>9</v>
      </c>
    </row>
    <row r="549" spans="1:6">
      <c r="A549" t="s">
        <v>573</v>
      </c>
      <c r="B549" t="s">
        <v>1044</v>
      </c>
      <c r="C549" t="s">
        <v>1045</v>
      </c>
      <c r="D549" s="1">
        <v>46201</v>
      </c>
      <c r="E549">
        <v>20429.310000000001</v>
      </c>
      <c r="F549" t="s">
        <v>26</v>
      </c>
    </row>
    <row r="550" spans="1:6">
      <c r="A550" t="s">
        <v>573</v>
      </c>
      <c r="B550" t="s">
        <v>1046</v>
      </c>
      <c r="C550" t="s">
        <v>1047</v>
      </c>
      <c r="D550" s="1">
        <v>46201</v>
      </c>
      <c r="E550">
        <v>45361.15</v>
      </c>
      <c r="F550" t="s">
        <v>9</v>
      </c>
    </row>
    <row r="551" spans="1:6">
      <c r="A551" t="s">
        <v>573</v>
      </c>
      <c r="B551" t="s">
        <v>1048</v>
      </c>
      <c r="C551" t="s">
        <v>1049</v>
      </c>
      <c r="D551" s="1">
        <v>46201</v>
      </c>
      <c r="E551">
        <v>654215.93999999994</v>
      </c>
      <c r="F551" t="s">
        <v>9</v>
      </c>
    </row>
    <row r="552" spans="1:6">
      <c r="A552" t="s">
        <v>573</v>
      </c>
      <c r="B552" t="s">
        <v>1050</v>
      </c>
      <c r="C552" t="s">
        <v>1051</v>
      </c>
      <c r="D552" s="1">
        <v>46201</v>
      </c>
      <c r="E552">
        <v>159780.10999999999</v>
      </c>
      <c r="F552" t="s">
        <v>9</v>
      </c>
    </row>
    <row r="553" spans="1:6">
      <c r="A553" t="s">
        <v>573</v>
      </c>
      <c r="B553" t="s">
        <v>1052</v>
      </c>
      <c r="C553" t="s">
        <v>1053</v>
      </c>
      <c r="D553" s="1">
        <v>46201</v>
      </c>
      <c r="E553">
        <v>288475.09999999998</v>
      </c>
      <c r="F553" t="s">
        <v>16</v>
      </c>
    </row>
    <row r="554" spans="1:6">
      <c r="A554" t="s">
        <v>573</v>
      </c>
      <c r="B554" t="s">
        <v>1054</v>
      </c>
      <c r="C554" t="s">
        <v>1055</v>
      </c>
      <c r="D554" s="1">
        <v>46201</v>
      </c>
      <c r="E554">
        <v>42867.73</v>
      </c>
      <c r="F554" t="s">
        <v>9</v>
      </c>
    </row>
    <row r="555" spans="1:6">
      <c r="A555" t="s">
        <v>573</v>
      </c>
      <c r="B555" t="s">
        <v>1056</v>
      </c>
      <c r="C555" t="s">
        <v>1057</v>
      </c>
      <c r="D555" s="1">
        <v>46201</v>
      </c>
      <c r="E555">
        <v>46864.71</v>
      </c>
      <c r="F555" t="s">
        <v>16</v>
      </c>
    </row>
    <row r="556" spans="1:6">
      <c r="A556" t="s">
        <v>573</v>
      </c>
      <c r="B556" t="s">
        <v>1058</v>
      </c>
      <c r="C556" t="s">
        <v>1057</v>
      </c>
      <c r="D556" s="1">
        <v>46201</v>
      </c>
      <c r="E556">
        <v>49462.32</v>
      </c>
      <c r="F556" t="s">
        <v>9</v>
      </c>
    </row>
    <row r="557" spans="1:6">
      <c r="A557" t="s">
        <v>573</v>
      </c>
      <c r="B557" t="s">
        <v>1059</v>
      </c>
      <c r="C557" t="s">
        <v>1060</v>
      </c>
      <c r="D557" s="1">
        <v>46201</v>
      </c>
      <c r="E557">
        <v>623608.24</v>
      </c>
      <c r="F557" t="s">
        <v>9</v>
      </c>
    </row>
    <row r="558" spans="1:6">
      <c r="A558" t="s">
        <v>573</v>
      </c>
      <c r="B558" t="s">
        <v>1061</v>
      </c>
      <c r="C558" t="s">
        <v>1000</v>
      </c>
      <c r="D558" s="1">
        <v>46201</v>
      </c>
      <c r="E558">
        <v>10757.72</v>
      </c>
      <c r="F558" t="s">
        <v>9</v>
      </c>
    </row>
    <row r="559" spans="1:6">
      <c r="A559" t="s">
        <v>573</v>
      </c>
      <c r="B559" t="s">
        <v>1062</v>
      </c>
      <c r="C559" t="s">
        <v>1063</v>
      </c>
      <c r="D559" s="1">
        <v>46201</v>
      </c>
      <c r="E559">
        <v>63503.95</v>
      </c>
      <c r="F559" t="s">
        <v>16</v>
      </c>
    </row>
    <row r="560" spans="1:6">
      <c r="A560" t="s">
        <v>573</v>
      </c>
      <c r="B560" t="s">
        <v>1064</v>
      </c>
      <c r="C560" t="s">
        <v>1065</v>
      </c>
      <c r="D560" s="1">
        <v>46201</v>
      </c>
      <c r="E560">
        <v>251220.47</v>
      </c>
      <c r="F560" t="s">
        <v>16</v>
      </c>
    </row>
    <row r="561" spans="1:6">
      <c r="A561" t="s">
        <v>573</v>
      </c>
      <c r="B561" t="s">
        <v>1066</v>
      </c>
      <c r="C561" t="s">
        <v>1067</v>
      </c>
      <c r="D561" s="1">
        <v>46202</v>
      </c>
      <c r="E561">
        <v>102690.68</v>
      </c>
      <c r="F561" t="s">
        <v>26</v>
      </c>
    </row>
    <row r="562" spans="1:6">
      <c r="A562" t="s">
        <v>573</v>
      </c>
      <c r="B562" t="s">
        <v>1068</v>
      </c>
      <c r="C562" t="s">
        <v>1069</v>
      </c>
      <c r="D562" s="1">
        <v>46202</v>
      </c>
      <c r="E562">
        <v>53685.85</v>
      </c>
      <c r="F562" t="s">
        <v>9</v>
      </c>
    </row>
    <row r="563" spans="1:6">
      <c r="A563" t="s">
        <v>573</v>
      </c>
      <c r="B563" t="s">
        <v>1070</v>
      </c>
      <c r="C563" t="s">
        <v>1071</v>
      </c>
      <c r="D563" s="1">
        <v>46202</v>
      </c>
      <c r="E563">
        <v>35044.58</v>
      </c>
      <c r="F563" t="s">
        <v>16</v>
      </c>
    </row>
    <row r="564" spans="1:6">
      <c r="A564" t="s">
        <v>573</v>
      </c>
      <c r="B564" t="s">
        <v>1072</v>
      </c>
      <c r="C564" t="s">
        <v>1073</v>
      </c>
      <c r="D564" s="1">
        <v>46202</v>
      </c>
      <c r="E564">
        <v>90759.39</v>
      </c>
      <c r="F564" t="s">
        <v>9</v>
      </c>
    </row>
    <row r="565" spans="1:6">
      <c r="A565" t="s">
        <v>573</v>
      </c>
      <c r="B565" t="s">
        <v>1074</v>
      </c>
      <c r="C565" t="s">
        <v>530</v>
      </c>
      <c r="D565" s="1">
        <v>46202</v>
      </c>
      <c r="E565">
        <v>341072.98</v>
      </c>
      <c r="F565" t="s">
        <v>9</v>
      </c>
    </row>
    <row r="566" spans="1:6">
      <c r="A566" t="s">
        <v>573</v>
      </c>
      <c r="B566" t="s">
        <v>1075</v>
      </c>
      <c r="C566" t="s">
        <v>1076</v>
      </c>
      <c r="D566" s="1">
        <v>46202</v>
      </c>
      <c r="E566">
        <v>48728.2</v>
      </c>
      <c r="F566" t="s">
        <v>9</v>
      </c>
    </row>
    <row r="567" spans="1:6">
      <c r="A567" t="s">
        <v>573</v>
      </c>
      <c r="B567" t="s">
        <v>1077</v>
      </c>
      <c r="C567" t="s">
        <v>260</v>
      </c>
      <c r="D567" s="1">
        <v>46202</v>
      </c>
      <c r="E567">
        <v>41609.65</v>
      </c>
      <c r="F567" t="s">
        <v>9</v>
      </c>
    </row>
    <row r="568" spans="1:6">
      <c r="A568" t="s">
        <v>573</v>
      </c>
      <c r="B568" t="s">
        <v>1078</v>
      </c>
      <c r="C568" t="s">
        <v>1079</v>
      </c>
      <c r="D568" s="1">
        <v>46202</v>
      </c>
      <c r="E568">
        <v>43536.97</v>
      </c>
      <c r="F568" t="s">
        <v>16</v>
      </c>
    </row>
    <row r="569" spans="1:6">
      <c r="A569" t="s">
        <v>573</v>
      </c>
      <c r="B569" t="s">
        <v>1080</v>
      </c>
      <c r="C569" t="s">
        <v>1081</v>
      </c>
      <c r="D569" s="1">
        <v>46202</v>
      </c>
      <c r="E569">
        <v>95141.02</v>
      </c>
      <c r="F569" t="s">
        <v>9</v>
      </c>
    </row>
    <row r="570" spans="1:6">
      <c r="A570" t="s">
        <v>573</v>
      </c>
      <c r="B570" t="s">
        <v>1082</v>
      </c>
      <c r="C570" t="s">
        <v>1083</v>
      </c>
      <c r="D570" s="1">
        <v>46202</v>
      </c>
      <c r="E570">
        <v>189280.85</v>
      </c>
      <c r="F570" t="s">
        <v>16</v>
      </c>
    </row>
    <row r="571" spans="1:6">
      <c r="A571" t="s">
        <v>573</v>
      </c>
      <c r="B571" t="s">
        <v>1084</v>
      </c>
      <c r="C571" t="s">
        <v>1085</v>
      </c>
      <c r="D571" s="1">
        <v>46203</v>
      </c>
      <c r="E571">
        <v>583679.15</v>
      </c>
      <c r="F571" t="s">
        <v>9</v>
      </c>
    </row>
    <row r="572" spans="1:6">
      <c r="A572" t="s">
        <v>573</v>
      </c>
      <c r="B572" t="s">
        <v>1086</v>
      </c>
      <c r="C572" t="s">
        <v>436</v>
      </c>
      <c r="D572" s="1">
        <v>46203</v>
      </c>
      <c r="E572">
        <v>592926.1</v>
      </c>
      <c r="F572" t="s">
        <v>9</v>
      </c>
    </row>
    <row r="573" spans="1:6">
      <c r="A573" t="s">
        <v>573</v>
      </c>
      <c r="B573" t="s">
        <v>1087</v>
      </c>
      <c r="C573" t="s">
        <v>1088</v>
      </c>
      <c r="D573" s="1">
        <v>46203</v>
      </c>
      <c r="E573">
        <v>112596.92</v>
      </c>
      <c r="F573" t="s">
        <v>9</v>
      </c>
    </row>
    <row r="574" spans="1:6">
      <c r="A574" t="s">
        <v>573</v>
      </c>
      <c r="B574" t="s">
        <v>1089</v>
      </c>
      <c r="C574" t="s">
        <v>1090</v>
      </c>
      <c r="D574" s="1">
        <v>46203</v>
      </c>
      <c r="E574">
        <v>52036.55</v>
      </c>
      <c r="F574" t="s">
        <v>9</v>
      </c>
    </row>
    <row r="575" spans="1:6">
      <c r="A575" t="s">
        <v>573</v>
      </c>
      <c r="B575" t="s">
        <v>1091</v>
      </c>
      <c r="C575" t="s">
        <v>158</v>
      </c>
      <c r="D575" s="1">
        <v>46203</v>
      </c>
      <c r="E575">
        <v>148847.96</v>
      </c>
      <c r="F575" t="s">
        <v>26</v>
      </c>
    </row>
    <row r="576" spans="1:6">
      <c r="A576" t="s">
        <v>573</v>
      </c>
      <c r="B576" t="s">
        <v>1092</v>
      </c>
      <c r="C576" t="s">
        <v>1093</v>
      </c>
      <c r="D576" s="1">
        <v>46203</v>
      </c>
      <c r="E576">
        <v>158392.45000000001</v>
      </c>
      <c r="F576" t="s">
        <v>9</v>
      </c>
    </row>
    <row r="577" spans="1:6">
      <c r="A577" t="s">
        <v>573</v>
      </c>
      <c r="B577" t="s">
        <v>1094</v>
      </c>
      <c r="C577" t="s">
        <v>1095</v>
      </c>
      <c r="D577" s="1">
        <v>46203</v>
      </c>
      <c r="E577">
        <v>89715</v>
      </c>
      <c r="F577" t="s">
        <v>9</v>
      </c>
    </row>
    <row r="578" spans="1:6">
      <c r="A578" t="s">
        <v>573</v>
      </c>
      <c r="B578" t="s">
        <v>1096</v>
      </c>
      <c r="C578" t="s">
        <v>1097</v>
      </c>
      <c r="D578" s="1">
        <v>46203</v>
      </c>
      <c r="E578">
        <v>161065.89000000001</v>
      </c>
      <c r="F578" t="s">
        <v>26</v>
      </c>
    </row>
    <row r="579" spans="1:6">
      <c r="A579" t="s">
        <v>573</v>
      </c>
      <c r="B579" t="s">
        <v>1098</v>
      </c>
      <c r="C579" t="s">
        <v>1099</v>
      </c>
      <c r="D579" s="1">
        <v>46203</v>
      </c>
      <c r="E579">
        <v>59390.48</v>
      </c>
      <c r="F579" t="s">
        <v>9</v>
      </c>
    </row>
    <row r="580" spans="1:6">
      <c r="A580" t="s">
        <v>573</v>
      </c>
      <c r="B580" t="s">
        <v>1100</v>
      </c>
      <c r="C580" t="s">
        <v>997</v>
      </c>
      <c r="D580" s="1">
        <v>46203</v>
      </c>
      <c r="E580">
        <v>4098.4799999999996</v>
      </c>
      <c r="F580" t="s">
        <v>9</v>
      </c>
    </row>
    <row r="581" spans="1:6">
      <c r="A581" t="s">
        <v>573</v>
      </c>
      <c r="B581" t="s">
        <v>1101</v>
      </c>
      <c r="C581" t="s">
        <v>1102</v>
      </c>
      <c r="D581" s="1">
        <v>46203</v>
      </c>
      <c r="E581">
        <v>17794.63</v>
      </c>
      <c r="F581" t="s">
        <v>9</v>
      </c>
    </row>
    <row r="582" spans="1:6">
      <c r="A582" t="s">
        <v>573</v>
      </c>
      <c r="B582" t="s">
        <v>1103</v>
      </c>
      <c r="C582" t="s">
        <v>1104</v>
      </c>
      <c r="D582" s="1">
        <v>46203</v>
      </c>
      <c r="E582">
        <v>123792.48</v>
      </c>
      <c r="F582" t="s">
        <v>9</v>
      </c>
    </row>
    <row r="583" spans="1:6">
      <c r="A583" t="s">
        <v>573</v>
      </c>
      <c r="B583" t="s">
        <v>1105</v>
      </c>
      <c r="C583" t="s">
        <v>1106</v>
      </c>
      <c r="D583" s="1">
        <v>46203</v>
      </c>
      <c r="E583">
        <v>1715.94</v>
      </c>
      <c r="F583" t="s">
        <v>26</v>
      </c>
    </row>
    <row r="584" spans="1:6">
      <c r="A584" t="s">
        <v>573</v>
      </c>
      <c r="B584" t="s">
        <v>1107</v>
      </c>
      <c r="C584" t="s">
        <v>1108</v>
      </c>
      <c r="D584" s="1">
        <v>46203</v>
      </c>
      <c r="E584">
        <v>221733.8</v>
      </c>
      <c r="F584" t="s">
        <v>16</v>
      </c>
    </row>
    <row r="585" spans="1:6">
      <c r="A585" t="s">
        <v>573</v>
      </c>
      <c r="B585" t="s">
        <v>1109</v>
      </c>
      <c r="C585" t="s">
        <v>1110</v>
      </c>
      <c r="D585" s="1">
        <v>46197</v>
      </c>
      <c r="E585">
        <v>233150.19</v>
      </c>
      <c r="F585" t="s">
        <v>9</v>
      </c>
    </row>
    <row r="586" spans="1:6">
      <c r="A586" t="s">
        <v>1111</v>
      </c>
      <c r="B586" t="s">
        <v>1112</v>
      </c>
      <c r="C586" t="s">
        <v>1113</v>
      </c>
      <c r="D586" s="1">
        <v>46204</v>
      </c>
      <c r="E586">
        <v>669319.77</v>
      </c>
      <c r="F586" t="s">
        <v>9</v>
      </c>
    </row>
    <row r="587" spans="1:6">
      <c r="A587" t="s">
        <v>1111</v>
      </c>
      <c r="B587" t="s">
        <v>1114</v>
      </c>
      <c r="C587" t="s">
        <v>1115</v>
      </c>
      <c r="D587" s="1">
        <v>46204</v>
      </c>
      <c r="E587">
        <v>11920.57</v>
      </c>
      <c r="F587" t="s">
        <v>26</v>
      </c>
    </row>
    <row r="588" spans="1:6">
      <c r="A588" t="s">
        <v>1111</v>
      </c>
      <c r="B588" t="s">
        <v>1116</v>
      </c>
      <c r="C588" t="s">
        <v>922</v>
      </c>
      <c r="D588" s="1">
        <v>46204</v>
      </c>
      <c r="E588">
        <v>20996.74</v>
      </c>
      <c r="F588" t="s">
        <v>9</v>
      </c>
    </row>
    <row r="589" spans="1:6">
      <c r="A589" t="s">
        <v>1111</v>
      </c>
      <c r="B589" t="s">
        <v>1117</v>
      </c>
      <c r="C589" t="s">
        <v>1118</v>
      </c>
      <c r="D589" s="1">
        <v>46204</v>
      </c>
      <c r="E589">
        <v>40019.120000000003</v>
      </c>
      <c r="F589" t="s">
        <v>9</v>
      </c>
    </row>
    <row r="590" spans="1:6">
      <c r="A590" t="s">
        <v>1111</v>
      </c>
      <c r="B590" t="s">
        <v>1119</v>
      </c>
      <c r="C590" t="s">
        <v>1120</v>
      </c>
      <c r="D590" s="1">
        <v>46204</v>
      </c>
      <c r="E590">
        <v>201134.51</v>
      </c>
      <c r="F590" t="s">
        <v>9</v>
      </c>
    </row>
    <row r="591" spans="1:6">
      <c r="A591" t="s">
        <v>1111</v>
      </c>
      <c r="B591" t="s">
        <v>1121</v>
      </c>
      <c r="C591" t="s">
        <v>426</v>
      </c>
      <c r="D591" s="1">
        <v>46205</v>
      </c>
      <c r="E591">
        <v>33305.53</v>
      </c>
      <c r="F591" t="s">
        <v>9</v>
      </c>
    </row>
    <row r="592" spans="1:6">
      <c r="A592" t="s">
        <v>1111</v>
      </c>
      <c r="B592" t="s">
        <v>1122</v>
      </c>
      <c r="C592" t="s">
        <v>1123</v>
      </c>
      <c r="D592" s="1">
        <v>46205</v>
      </c>
      <c r="E592">
        <v>47978.06</v>
      </c>
      <c r="F592" t="s">
        <v>26</v>
      </c>
    </row>
    <row r="593" spans="1:6">
      <c r="A593" t="s">
        <v>1111</v>
      </c>
      <c r="B593" t="s">
        <v>1124</v>
      </c>
      <c r="C593" t="s">
        <v>450</v>
      </c>
      <c r="D593" s="1">
        <v>46206</v>
      </c>
      <c r="E593">
        <v>31333.81</v>
      </c>
      <c r="F593" t="s">
        <v>9</v>
      </c>
    </row>
    <row r="594" spans="1:6">
      <c r="A594" t="s">
        <v>1111</v>
      </c>
      <c r="B594" t="s">
        <v>1125</v>
      </c>
      <c r="C594" t="s">
        <v>1126</v>
      </c>
      <c r="D594" s="1">
        <v>46206</v>
      </c>
      <c r="E594">
        <v>1469316.71</v>
      </c>
      <c r="F594" t="s">
        <v>9</v>
      </c>
    </row>
    <row r="595" spans="1:6">
      <c r="A595" t="s">
        <v>1111</v>
      </c>
      <c r="B595" t="s">
        <v>1127</v>
      </c>
      <c r="C595" t="s">
        <v>1128</v>
      </c>
      <c r="D595" s="1">
        <v>46206</v>
      </c>
      <c r="E595">
        <v>39230.11</v>
      </c>
      <c r="F595" t="s">
        <v>9</v>
      </c>
    </row>
    <row r="596" spans="1:6">
      <c r="A596" t="s">
        <v>1111</v>
      </c>
      <c r="B596" t="s">
        <v>1129</v>
      </c>
      <c r="C596" t="s">
        <v>77</v>
      </c>
      <c r="D596" s="1">
        <v>46207</v>
      </c>
      <c r="E596">
        <v>7664.33</v>
      </c>
      <c r="F596" t="s">
        <v>9</v>
      </c>
    </row>
    <row r="597" spans="1:6">
      <c r="A597" t="s">
        <v>1111</v>
      </c>
      <c r="B597" t="s">
        <v>1130</v>
      </c>
      <c r="C597" t="s">
        <v>1023</v>
      </c>
      <c r="D597" s="1">
        <v>46207</v>
      </c>
      <c r="E597">
        <v>49570.18</v>
      </c>
      <c r="F597" t="s">
        <v>26</v>
      </c>
    </row>
    <row r="598" spans="1:6">
      <c r="A598" t="s">
        <v>1111</v>
      </c>
      <c r="B598" t="s">
        <v>1131</v>
      </c>
      <c r="C598" t="s">
        <v>1132</v>
      </c>
      <c r="D598" s="1">
        <v>46207</v>
      </c>
      <c r="E598">
        <v>250091.6</v>
      </c>
      <c r="F598" t="s">
        <v>9</v>
      </c>
    </row>
    <row r="599" spans="1:6">
      <c r="A599" t="s">
        <v>1111</v>
      </c>
      <c r="B599" t="s">
        <v>1133</v>
      </c>
      <c r="C599" t="s">
        <v>1134</v>
      </c>
      <c r="D599" s="1">
        <v>46207</v>
      </c>
      <c r="E599">
        <v>72120.05</v>
      </c>
      <c r="F599" t="s">
        <v>26</v>
      </c>
    </row>
    <row r="600" spans="1:6">
      <c r="A600" t="s">
        <v>1111</v>
      </c>
      <c r="B600" t="s">
        <v>1135</v>
      </c>
      <c r="C600" t="s">
        <v>1136</v>
      </c>
      <c r="D600" s="1">
        <v>46208</v>
      </c>
      <c r="E600">
        <v>164617.60000000001</v>
      </c>
      <c r="F600" t="s">
        <v>16</v>
      </c>
    </row>
    <row r="601" spans="1:6">
      <c r="A601" t="s">
        <v>1111</v>
      </c>
      <c r="B601" t="s">
        <v>1137</v>
      </c>
      <c r="C601" t="s">
        <v>1138</v>
      </c>
      <c r="D601" s="1">
        <v>46208</v>
      </c>
      <c r="E601">
        <v>472557.11</v>
      </c>
      <c r="F601" t="s">
        <v>9</v>
      </c>
    </row>
    <row r="602" spans="1:6">
      <c r="A602" t="s">
        <v>1111</v>
      </c>
      <c r="B602" t="s">
        <v>1139</v>
      </c>
      <c r="C602" t="s">
        <v>1140</v>
      </c>
      <c r="D602" s="1">
        <v>46209</v>
      </c>
      <c r="E602">
        <v>161417.26</v>
      </c>
      <c r="F602" t="s">
        <v>16</v>
      </c>
    </row>
    <row r="603" spans="1:6">
      <c r="A603" t="s">
        <v>1111</v>
      </c>
      <c r="B603" t="s">
        <v>1141</v>
      </c>
      <c r="C603" t="s">
        <v>1142</v>
      </c>
      <c r="D603" s="1">
        <v>46209</v>
      </c>
      <c r="E603">
        <v>158685.23000000001</v>
      </c>
      <c r="F603" t="s">
        <v>26</v>
      </c>
    </row>
    <row r="604" spans="1:6">
      <c r="A604" t="s">
        <v>1111</v>
      </c>
      <c r="B604" t="s">
        <v>1143</v>
      </c>
      <c r="C604" t="s">
        <v>1108</v>
      </c>
      <c r="D604" s="1">
        <v>46209</v>
      </c>
      <c r="E604">
        <v>356675.77</v>
      </c>
      <c r="F604" t="s">
        <v>26</v>
      </c>
    </row>
    <row r="605" spans="1:6">
      <c r="A605" t="s">
        <v>1111</v>
      </c>
      <c r="B605" t="s">
        <v>1144</v>
      </c>
      <c r="C605" t="s">
        <v>1145</v>
      </c>
      <c r="D605" s="1">
        <v>46210</v>
      </c>
      <c r="E605">
        <v>20531.07</v>
      </c>
      <c r="F605" t="s">
        <v>26</v>
      </c>
    </row>
    <row r="606" spans="1:6">
      <c r="A606" t="s">
        <v>1111</v>
      </c>
      <c r="B606" t="s">
        <v>1146</v>
      </c>
      <c r="C606" t="s">
        <v>1147</v>
      </c>
      <c r="D606" s="1">
        <v>46210</v>
      </c>
      <c r="E606">
        <v>531255.06999999995</v>
      </c>
      <c r="F606" t="s">
        <v>9</v>
      </c>
    </row>
    <row r="607" spans="1:6">
      <c r="A607" t="s">
        <v>1111</v>
      </c>
      <c r="B607" t="s">
        <v>1148</v>
      </c>
      <c r="C607" t="s">
        <v>1149</v>
      </c>
      <c r="D607" s="1">
        <v>46210</v>
      </c>
      <c r="E607">
        <v>77418.06</v>
      </c>
      <c r="F607" t="s">
        <v>16</v>
      </c>
    </row>
    <row r="608" spans="1:6">
      <c r="A608" t="s">
        <v>1111</v>
      </c>
      <c r="B608" t="s">
        <v>1150</v>
      </c>
      <c r="C608" t="s">
        <v>1151</v>
      </c>
      <c r="D608" s="1">
        <v>46211</v>
      </c>
      <c r="E608">
        <v>5000</v>
      </c>
      <c r="F608" t="s">
        <v>9</v>
      </c>
    </row>
    <row r="609" spans="1:6">
      <c r="A609" t="s">
        <v>1111</v>
      </c>
      <c r="B609" t="s">
        <v>1152</v>
      </c>
      <c r="C609" t="s">
        <v>1153</v>
      </c>
      <c r="D609" s="1">
        <v>46211</v>
      </c>
      <c r="E609">
        <v>20015.22</v>
      </c>
      <c r="F609" t="s">
        <v>9</v>
      </c>
    </row>
    <row r="610" spans="1:6">
      <c r="A610" t="s">
        <v>1111</v>
      </c>
      <c r="B610" t="s">
        <v>1154</v>
      </c>
      <c r="C610" t="s">
        <v>224</v>
      </c>
      <c r="D610" s="1">
        <v>46211</v>
      </c>
      <c r="E610">
        <v>29645.35</v>
      </c>
      <c r="F610" t="s">
        <v>9</v>
      </c>
    </row>
    <row r="611" spans="1:6">
      <c r="A611" t="s">
        <v>1111</v>
      </c>
      <c r="B611" t="s">
        <v>1155</v>
      </c>
      <c r="C611" t="s">
        <v>1156</v>
      </c>
      <c r="D611" s="1">
        <v>46211</v>
      </c>
      <c r="E611">
        <v>65335.14</v>
      </c>
      <c r="F611" t="s">
        <v>9</v>
      </c>
    </row>
    <row r="612" spans="1:6">
      <c r="A612" t="s">
        <v>1111</v>
      </c>
      <c r="B612" t="s">
        <v>1157</v>
      </c>
      <c r="C612" t="s">
        <v>1158</v>
      </c>
      <c r="D612" s="1">
        <v>46212</v>
      </c>
      <c r="E612">
        <v>500227.23</v>
      </c>
      <c r="F612" t="s">
        <v>9</v>
      </c>
    </row>
    <row r="613" spans="1:6">
      <c r="A613" t="s">
        <v>1111</v>
      </c>
      <c r="B613" t="s">
        <v>1159</v>
      </c>
      <c r="C613" t="s">
        <v>1160</v>
      </c>
      <c r="D613" s="1">
        <v>46212</v>
      </c>
      <c r="E613">
        <v>153410.76</v>
      </c>
      <c r="F613" t="s">
        <v>9</v>
      </c>
    </row>
    <row r="614" spans="1:6">
      <c r="A614" t="s">
        <v>1111</v>
      </c>
      <c r="B614" t="s">
        <v>1161</v>
      </c>
      <c r="C614" t="s">
        <v>1162</v>
      </c>
      <c r="D614" s="1">
        <v>46212</v>
      </c>
      <c r="E614">
        <v>43441.61</v>
      </c>
      <c r="F614" t="s">
        <v>9</v>
      </c>
    </row>
    <row r="615" spans="1:6">
      <c r="A615" t="s">
        <v>1111</v>
      </c>
      <c r="B615" t="s">
        <v>1163</v>
      </c>
      <c r="C615" t="s">
        <v>1164</v>
      </c>
      <c r="D615" s="1">
        <v>46212</v>
      </c>
      <c r="E615">
        <v>59868.2</v>
      </c>
      <c r="F615" t="s">
        <v>9</v>
      </c>
    </row>
    <row r="616" spans="1:6">
      <c r="A616" t="s">
        <v>1111</v>
      </c>
      <c r="B616" t="s">
        <v>1165</v>
      </c>
      <c r="C616" t="s">
        <v>1166</v>
      </c>
      <c r="D616" s="1">
        <v>46212</v>
      </c>
      <c r="E616">
        <v>10306.620000000001</v>
      </c>
      <c r="F616" t="s">
        <v>9</v>
      </c>
    </row>
    <row r="617" spans="1:6">
      <c r="A617" t="s">
        <v>1111</v>
      </c>
      <c r="B617" t="s">
        <v>1167</v>
      </c>
      <c r="C617" t="s">
        <v>1168</v>
      </c>
      <c r="D617" s="1">
        <v>46212</v>
      </c>
      <c r="E617">
        <v>23005.67</v>
      </c>
      <c r="F617" t="s">
        <v>9</v>
      </c>
    </row>
    <row r="618" spans="1:6">
      <c r="A618" t="s">
        <v>1111</v>
      </c>
      <c r="B618" t="s">
        <v>1169</v>
      </c>
      <c r="C618" t="s">
        <v>1170</v>
      </c>
      <c r="D618" s="1">
        <v>46212</v>
      </c>
      <c r="E618">
        <v>643696.89</v>
      </c>
      <c r="F618" t="s">
        <v>9</v>
      </c>
    </row>
    <row r="619" spans="1:6">
      <c r="A619" t="s">
        <v>1111</v>
      </c>
      <c r="B619" t="s">
        <v>1171</v>
      </c>
      <c r="C619" t="s">
        <v>1172</v>
      </c>
      <c r="D619" s="1">
        <v>46212</v>
      </c>
      <c r="E619">
        <v>83350.05</v>
      </c>
      <c r="F619" t="s">
        <v>16</v>
      </c>
    </row>
    <row r="620" spans="1:6">
      <c r="A620" t="s">
        <v>1111</v>
      </c>
      <c r="B620" t="s">
        <v>1173</v>
      </c>
      <c r="C620" t="s">
        <v>1174</v>
      </c>
      <c r="D620" s="1">
        <v>46212</v>
      </c>
      <c r="E620">
        <v>1094604.05</v>
      </c>
      <c r="F620" t="s">
        <v>9</v>
      </c>
    </row>
    <row r="621" spans="1:6">
      <c r="A621" t="s">
        <v>1111</v>
      </c>
      <c r="B621" t="s">
        <v>1175</v>
      </c>
      <c r="C621" t="s">
        <v>1176</v>
      </c>
      <c r="D621" s="1">
        <v>46212</v>
      </c>
      <c r="E621">
        <v>36845.599999999999</v>
      </c>
      <c r="F621" t="s">
        <v>16</v>
      </c>
    </row>
    <row r="622" spans="1:6">
      <c r="A622" t="s">
        <v>1111</v>
      </c>
      <c r="B622" t="s">
        <v>1177</v>
      </c>
      <c r="C622" t="s">
        <v>1041</v>
      </c>
      <c r="D622" s="1">
        <v>46213</v>
      </c>
      <c r="E622">
        <v>68119.149999999994</v>
      </c>
      <c r="F622" t="s">
        <v>16</v>
      </c>
    </row>
    <row r="623" spans="1:6">
      <c r="A623" t="s">
        <v>1111</v>
      </c>
      <c r="B623" t="s">
        <v>1178</v>
      </c>
      <c r="C623" t="s">
        <v>497</v>
      </c>
      <c r="D623" s="1">
        <v>46213</v>
      </c>
      <c r="E623">
        <v>26545.69</v>
      </c>
      <c r="F623" t="s">
        <v>9</v>
      </c>
    </row>
    <row r="624" spans="1:6">
      <c r="A624" t="s">
        <v>1111</v>
      </c>
      <c r="B624" t="s">
        <v>1179</v>
      </c>
      <c r="C624" t="s">
        <v>852</v>
      </c>
      <c r="D624" s="1">
        <v>46213</v>
      </c>
      <c r="E624">
        <v>32817.379999999997</v>
      </c>
      <c r="F624" t="s">
        <v>16</v>
      </c>
    </row>
    <row r="625" spans="1:6">
      <c r="A625" t="s">
        <v>1111</v>
      </c>
      <c r="B625" t="s">
        <v>1180</v>
      </c>
      <c r="C625" t="s">
        <v>1181</v>
      </c>
      <c r="D625" s="1">
        <v>46214</v>
      </c>
      <c r="E625">
        <v>177843.53</v>
      </c>
      <c r="F625" t="s">
        <v>16</v>
      </c>
    </row>
    <row r="626" spans="1:6">
      <c r="A626" t="s">
        <v>1111</v>
      </c>
      <c r="B626" t="s">
        <v>1182</v>
      </c>
      <c r="C626" t="s">
        <v>1183</v>
      </c>
      <c r="D626" s="1">
        <v>46214</v>
      </c>
      <c r="E626">
        <v>90433.75</v>
      </c>
      <c r="F626" t="s">
        <v>26</v>
      </c>
    </row>
    <row r="627" spans="1:6">
      <c r="A627" t="s">
        <v>1111</v>
      </c>
      <c r="B627" t="s">
        <v>1184</v>
      </c>
      <c r="C627" t="s">
        <v>1185</v>
      </c>
      <c r="D627" s="1">
        <v>46214</v>
      </c>
      <c r="E627">
        <v>395170.38</v>
      </c>
      <c r="F627" t="s">
        <v>9</v>
      </c>
    </row>
    <row r="628" spans="1:6">
      <c r="A628" t="s">
        <v>1111</v>
      </c>
      <c r="B628" t="s">
        <v>1186</v>
      </c>
      <c r="C628" t="s">
        <v>1187</v>
      </c>
      <c r="D628" s="1">
        <v>46214</v>
      </c>
      <c r="E628">
        <v>248076.59</v>
      </c>
      <c r="F628" t="s">
        <v>16</v>
      </c>
    </row>
    <row r="629" spans="1:6">
      <c r="A629" t="s">
        <v>1111</v>
      </c>
      <c r="B629" t="s">
        <v>1188</v>
      </c>
      <c r="C629" t="s">
        <v>1189</v>
      </c>
      <c r="D629" s="1">
        <v>46214</v>
      </c>
      <c r="E629">
        <v>29914.51</v>
      </c>
      <c r="F629" t="s">
        <v>9</v>
      </c>
    </row>
    <row r="630" spans="1:6">
      <c r="A630" t="s">
        <v>1111</v>
      </c>
      <c r="B630" t="s">
        <v>1190</v>
      </c>
      <c r="C630" t="s">
        <v>1191</v>
      </c>
      <c r="D630" s="1">
        <v>46215</v>
      </c>
      <c r="E630">
        <v>141135.82999999999</v>
      </c>
      <c r="F630" t="s">
        <v>16</v>
      </c>
    </row>
    <row r="631" spans="1:6">
      <c r="A631" t="s">
        <v>1111</v>
      </c>
      <c r="B631" t="s">
        <v>1192</v>
      </c>
      <c r="C631" t="s">
        <v>1193</v>
      </c>
      <c r="D631" s="1">
        <v>46215</v>
      </c>
      <c r="E631">
        <v>187312.63</v>
      </c>
      <c r="F631" t="s">
        <v>16</v>
      </c>
    </row>
    <row r="632" spans="1:6">
      <c r="A632" t="s">
        <v>1111</v>
      </c>
      <c r="B632" t="s">
        <v>1194</v>
      </c>
      <c r="C632" t="s">
        <v>1195</v>
      </c>
      <c r="D632" s="1">
        <v>46215</v>
      </c>
      <c r="E632">
        <v>75683.179999999993</v>
      </c>
      <c r="F632" t="s">
        <v>26</v>
      </c>
    </row>
    <row r="633" spans="1:6">
      <c r="A633" t="s">
        <v>1111</v>
      </c>
      <c r="B633" t="s">
        <v>1196</v>
      </c>
      <c r="C633" t="s">
        <v>1197</v>
      </c>
      <c r="D633" s="1">
        <v>46216</v>
      </c>
      <c r="E633">
        <v>21137.89</v>
      </c>
      <c r="F633" t="s">
        <v>9</v>
      </c>
    </row>
    <row r="634" spans="1:6">
      <c r="A634" t="s">
        <v>1111</v>
      </c>
      <c r="B634" t="s">
        <v>1198</v>
      </c>
      <c r="C634" t="s">
        <v>1199</v>
      </c>
      <c r="D634" s="1">
        <v>46216</v>
      </c>
      <c r="E634">
        <v>36761.879999999997</v>
      </c>
      <c r="F634" t="s">
        <v>9</v>
      </c>
    </row>
    <row r="635" spans="1:6">
      <c r="A635" t="s">
        <v>1111</v>
      </c>
      <c r="B635" t="s">
        <v>1200</v>
      </c>
      <c r="C635" t="s">
        <v>1201</v>
      </c>
      <c r="D635" s="1">
        <v>46216</v>
      </c>
      <c r="E635">
        <v>50944.34</v>
      </c>
      <c r="F635" t="s">
        <v>16</v>
      </c>
    </row>
    <row r="636" spans="1:6">
      <c r="A636" t="s">
        <v>1111</v>
      </c>
      <c r="B636" t="s">
        <v>1202</v>
      </c>
      <c r="C636" t="s">
        <v>1203</v>
      </c>
      <c r="D636" s="1">
        <v>46216</v>
      </c>
      <c r="E636">
        <v>183421.88</v>
      </c>
      <c r="F636" t="s">
        <v>9</v>
      </c>
    </row>
    <row r="637" spans="1:6">
      <c r="A637" t="s">
        <v>1111</v>
      </c>
      <c r="B637" t="s">
        <v>1204</v>
      </c>
      <c r="C637" t="s">
        <v>1205</v>
      </c>
      <c r="D637" s="1">
        <v>46216</v>
      </c>
      <c r="E637">
        <v>10456.08</v>
      </c>
      <c r="F637" t="s">
        <v>9</v>
      </c>
    </row>
    <row r="638" spans="1:6">
      <c r="A638" t="s">
        <v>1111</v>
      </c>
      <c r="B638" t="s">
        <v>1206</v>
      </c>
      <c r="C638" t="s">
        <v>1207</v>
      </c>
      <c r="D638" s="1">
        <v>46217</v>
      </c>
      <c r="E638">
        <v>103674.34</v>
      </c>
      <c r="F638" t="s">
        <v>9</v>
      </c>
    </row>
    <row r="639" spans="1:6">
      <c r="A639" t="s">
        <v>1111</v>
      </c>
      <c r="B639" t="s">
        <v>1208</v>
      </c>
      <c r="C639" t="s">
        <v>1209</v>
      </c>
      <c r="D639" s="1">
        <v>46217</v>
      </c>
      <c r="E639">
        <v>7658.93</v>
      </c>
      <c r="F639" t="s">
        <v>9</v>
      </c>
    </row>
    <row r="640" spans="1:6">
      <c r="A640" t="s">
        <v>1111</v>
      </c>
      <c r="B640" t="s">
        <v>1210</v>
      </c>
      <c r="C640" t="s">
        <v>1211</v>
      </c>
      <c r="D640" s="1">
        <v>46217</v>
      </c>
      <c r="E640">
        <v>376788.52</v>
      </c>
      <c r="F640" t="s">
        <v>9</v>
      </c>
    </row>
    <row r="641" spans="1:6">
      <c r="A641" t="s">
        <v>1111</v>
      </c>
      <c r="B641" t="s">
        <v>1212</v>
      </c>
      <c r="C641" t="s">
        <v>960</v>
      </c>
      <c r="D641" s="1">
        <v>46218</v>
      </c>
      <c r="E641">
        <v>15211.75</v>
      </c>
      <c r="F641" t="s">
        <v>9</v>
      </c>
    </row>
    <row r="642" spans="1:6">
      <c r="A642" t="s">
        <v>1111</v>
      </c>
      <c r="B642" t="s">
        <v>1213</v>
      </c>
      <c r="C642" t="s">
        <v>1214</v>
      </c>
      <c r="D642" s="1">
        <v>46218</v>
      </c>
      <c r="E642">
        <v>10585.47</v>
      </c>
      <c r="F642" t="s">
        <v>9</v>
      </c>
    </row>
    <row r="643" spans="1:6">
      <c r="A643" t="s">
        <v>1111</v>
      </c>
      <c r="B643" t="s">
        <v>1215</v>
      </c>
      <c r="C643" t="s">
        <v>797</v>
      </c>
      <c r="D643" s="1">
        <v>46218</v>
      </c>
      <c r="E643">
        <v>11059.12</v>
      </c>
      <c r="F643" t="s">
        <v>9</v>
      </c>
    </row>
    <row r="644" spans="1:6">
      <c r="A644" t="s">
        <v>1111</v>
      </c>
      <c r="B644" t="s">
        <v>1216</v>
      </c>
      <c r="C644" t="s">
        <v>1217</v>
      </c>
      <c r="D644" s="1">
        <v>46218</v>
      </c>
      <c r="E644">
        <v>38832.92</v>
      </c>
      <c r="F644" t="s">
        <v>26</v>
      </c>
    </row>
    <row r="645" spans="1:6">
      <c r="A645" t="s">
        <v>1111</v>
      </c>
      <c r="B645" t="s">
        <v>1218</v>
      </c>
      <c r="C645" t="s">
        <v>1219</v>
      </c>
      <c r="D645" s="1">
        <v>46218</v>
      </c>
      <c r="E645">
        <v>27888.31</v>
      </c>
      <c r="F645" t="s">
        <v>9</v>
      </c>
    </row>
    <row r="646" spans="1:6">
      <c r="A646" t="s">
        <v>1111</v>
      </c>
      <c r="B646" t="s">
        <v>1220</v>
      </c>
      <c r="C646" t="s">
        <v>1221</v>
      </c>
      <c r="D646" s="1">
        <v>46219</v>
      </c>
      <c r="E646">
        <v>357751.29</v>
      </c>
      <c r="F646" t="s">
        <v>9</v>
      </c>
    </row>
    <row r="647" spans="1:6">
      <c r="A647" t="s">
        <v>1111</v>
      </c>
      <c r="B647" t="s">
        <v>1222</v>
      </c>
      <c r="C647" t="s">
        <v>1223</v>
      </c>
      <c r="D647" s="1">
        <v>46219</v>
      </c>
      <c r="E647">
        <v>270624.28000000003</v>
      </c>
      <c r="F647" t="s">
        <v>26</v>
      </c>
    </row>
    <row r="648" spans="1:6">
      <c r="A648" t="s">
        <v>1111</v>
      </c>
      <c r="B648" t="s">
        <v>1224</v>
      </c>
      <c r="C648" t="s">
        <v>1225</v>
      </c>
      <c r="D648" s="1">
        <v>46219</v>
      </c>
      <c r="E648">
        <v>161677.92000000001</v>
      </c>
      <c r="F648" t="s">
        <v>16</v>
      </c>
    </row>
    <row r="649" spans="1:6">
      <c r="A649" t="s">
        <v>1111</v>
      </c>
      <c r="B649" t="s">
        <v>1226</v>
      </c>
      <c r="C649" t="s">
        <v>1227</v>
      </c>
      <c r="D649" s="1">
        <v>46219</v>
      </c>
      <c r="E649">
        <v>563792.88</v>
      </c>
      <c r="F649" t="s">
        <v>9</v>
      </c>
    </row>
    <row r="650" spans="1:6">
      <c r="A650" t="s">
        <v>1111</v>
      </c>
      <c r="B650" t="s">
        <v>1228</v>
      </c>
      <c r="C650" t="s">
        <v>1229</v>
      </c>
      <c r="D650" s="1">
        <v>46220</v>
      </c>
      <c r="E650">
        <v>72520.7</v>
      </c>
      <c r="F650" t="s">
        <v>9</v>
      </c>
    </row>
    <row r="651" spans="1:6">
      <c r="A651" t="s">
        <v>1111</v>
      </c>
      <c r="B651" t="s">
        <v>1230</v>
      </c>
      <c r="C651" t="s">
        <v>1231</v>
      </c>
      <c r="D651" s="1">
        <v>46220</v>
      </c>
      <c r="E651">
        <v>41413.71</v>
      </c>
      <c r="F651" t="s">
        <v>9</v>
      </c>
    </row>
    <row r="652" spans="1:6">
      <c r="A652" t="s">
        <v>1111</v>
      </c>
      <c r="B652" t="s">
        <v>1232</v>
      </c>
      <c r="C652" t="s">
        <v>1233</v>
      </c>
      <c r="D652" s="1">
        <v>46220</v>
      </c>
      <c r="E652">
        <v>44597.42</v>
      </c>
      <c r="F652" t="s">
        <v>9</v>
      </c>
    </row>
    <row r="653" spans="1:6">
      <c r="A653" t="s">
        <v>1111</v>
      </c>
      <c r="B653" t="s">
        <v>1234</v>
      </c>
      <c r="C653" t="s">
        <v>1235</v>
      </c>
      <c r="D653" s="1">
        <v>46220</v>
      </c>
      <c r="E653">
        <v>12402.6</v>
      </c>
      <c r="F653" t="s">
        <v>9</v>
      </c>
    </row>
    <row r="654" spans="1:6">
      <c r="A654" t="s">
        <v>1111</v>
      </c>
      <c r="B654" t="s">
        <v>1236</v>
      </c>
      <c r="C654" t="s">
        <v>1237</v>
      </c>
      <c r="D654" s="1">
        <v>46220</v>
      </c>
      <c r="E654">
        <v>350536.77</v>
      </c>
      <c r="F654" t="s">
        <v>16</v>
      </c>
    </row>
    <row r="655" spans="1:6">
      <c r="A655" t="s">
        <v>1111</v>
      </c>
      <c r="B655" t="s">
        <v>1238</v>
      </c>
      <c r="C655" t="s">
        <v>1239</v>
      </c>
      <c r="D655" s="1">
        <v>46221</v>
      </c>
      <c r="E655">
        <v>12698.4</v>
      </c>
      <c r="F655" t="s">
        <v>9</v>
      </c>
    </row>
    <row r="656" spans="1:6">
      <c r="A656" t="s">
        <v>1111</v>
      </c>
      <c r="B656" t="s">
        <v>1240</v>
      </c>
      <c r="C656" t="s">
        <v>1241</v>
      </c>
      <c r="D656" s="1">
        <v>46221</v>
      </c>
      <c r="E656">
        <v>102689.61</v>
      </c>
      <c r="F656" t="s">
        <v>26</v>
      </c>
    </row>
    <row r="657" spans="1:6">
      <c r="A657" t="s">
        <v>1111</v>
      </c>
      <c r="B657" t="s">
        <v>1242</v>
      </c>
      <c r="C657" t="s">
        <v>1243</v>
      </c>
      <c r="D657" s="1">
        <v>46221</v>
      </c>
      <c r="E657">
        <v>643181.57999999996</v>
      </c>
      <c r="F657" t="s">
        <v>26</v>
      </c>
    </row>
    <row r="658" spans="1:6">
      <c r="A658" t="s">
        <v>1111</v>
      </c>
      <c r="B658" t="s">
        <v>1244</v>
      </c>
      <c r="C658" t="s">
        <v>503</v>
      </c>
      <c r="D658" s="1">
        <v>46222</v>
      </c>
      <c r="E658">
        <v>29729.37</v>
      </c>
      <c r="F658" t="s">
        <v>16</v>
      </c>
    </row>
    <row r="659" spans="1:6">
      <c r="A659" t="s">
        <v>1111</v>
      </c>
      <c r="B659" t="s">
        <v>1245</v>
      </c>
      <c r="C659" t="s">
        <v>1246</v>
      </c>
      <c r="D659" s="1">
        <v>46222</v>
      </c>
      <c r="E659">
        <v>58317.97</v>
      </c>
      <c r="F659" t="s">
        <v>9</v>
      </c>
    </row>
    <row r="660" spans="1:6">
      <c r="A660" t="s">
        <v>1111</v>
      </c>
      <c r="B660" t="s">
        <v>1247</v>
      </c>
      <c r="C660" t="s">
        <v>1248</v>
      </c>
      <c r="D660" s="1">
        <v>46222</v>
      </c>
      <c r="E660">
        <v>191157.43</v>
      </c>
      <c r="F660" t="s">
        <v>9</v>
      </c>
    </row>
    <row r="661" spans="1:6">
      <c r="A661" t="s">
        <v>1111</v>
      </c>
      <c r="B661" t="s">
        <v>1249</v>
      </c>
      <c r="C661" t="s">
        <v>1250</v>
      </c>
      <c r="D661" s="1">
        <v>46223</v>
      </c>
      <c r="E661">
        <v>31970.91</v>
      </c>
      <c r="F661" t="s">
        <v>9</v>
      </c>
    </row>
    <row r="662" spans="1:6">
      <c r="A662" t="s">
        <v>1111</v>
      </c>
      <c r="B662" t="s">
        <v>1251</v>
      </c>
      <c r="C662" t="s">
        <v>1252</v>
      </c>
      <c r="D662" s="1">
        <v>46223</v>
      </c>
      <c r="E662">
        <v>235428.82</v>
      </c>
      <c r="F662" t="s">
        <v>9</v>
      </c>
    </row>
    <row r="663" spans="1:6">
      <c r="A663" t="s">
        <v>1111</v>
      </c>
      <c r="B663" t="s">
        <v>1253</v>
      </c>
      <c r="C663" t="s">
        <v>1254</v>
      </c>
      <c r="D663" s="1">
        <v>46224</v>
      </c>
      <c r="E663">
        <v>36858.65</v>
      </c>
      <c r="F663" t="s">
        <v>26</v>
      </c>
    </row>
    <row r="664" spans="1:6">
      <c r="A664" t="s">
        <v>1111</v>
      </c>
      <c r="B664" t="s">
        <v>1255</v>
      </c>
      <c r="C664" t="s">
        <v>1256</v>
      </c>
      <c r="D664" s="1">
        <v>46224</v>
      </c>
      <c r="E664">
        <v>90825.06</v>
      </c>
      <c r="F664" t="s">
        <v>9</v>
      </c>
    </row>
    <row r="665" spans="1:6">
      <c r="A665" t="s">
        <v>1111</v>
      </c>
      <c r="B665" t="s">
        <v>1257</v>
      </c>
      <c r="C665" t="s">
        <v>1258</v>
      </c>
      <c r="D665" s="1">
        <v>46224</v>
      </c>
      <c r="E665">
        <v>60119.16</v>
      </c>
      <c r="F665" t="s">
        <v>9</v>
      </c>
    </row>
    <row r="666" spans="1:6">
      <c r="A666" t="s">
        <v>1111</v>
      </c>
      <c r="B666" t="s">
        <v>1259</v>
      </c>
      <c r="C666" t="s">
        <v>1260</v>
      </c>
      <c r="D666" s="1">
        <v>46224</v>
      </c>
      <c r="E666">
        <v>394460.36</v>
      </c>
      <c r="F666" t="s">
        <v>9</v>
      </c>
    </row>
    <row r="667" spans="1:6">
      <c r="A667" t="s">
        <v>1111</v>
      </c>
      <c r="B667" t="s">
        <v>1261</v>
      </c>
      <c r="C667" t="s">
        <v>1262</v>
      </c>
      <c r="D667" s="1">
        <v>46224</v>
      </c>
      <c r="E667">
        <v>18102.39</v>
      </c>
      <c r="F667" t="s">
        <v>16</v>
      </c>
    </row>
    <row r="668" spans="1:6">
      <c r="A668" t="s">
        <v>1111</v>
      </c>
      <c r="B668" t="s">
        <v>1263</v>
      </c>
      <c r="C668" t="s">
        <v>1264</v>
      </c>
      <c r="D668" s="1">
        <v>46224</v>
      </c>
      <c r="E668">
        <v>8882.42</v>
      </c>
      <c r="F668" t="s">
        <v>9</v>
      </c>
    </row>
    <row r="669" spans="1:6">
      <c r="A669" t="s">
        <v>1111</v>
      </c>
      <c r="B669" t="s">
        <v>1265</v>
      </c>
      <c r="C669" t="s">
        <v>1266</v>
      </c>
      <c r="D669" s="1">
        <v>46224</v>
      </c>
      <c r="E669">
        <v>183659.5</v>
      </c>
      <c r="F669" t="s">
        <v>9</v>
      </c>
    </row>
    <row r="670" spans="1:6">
      <c r="A670" t="s">
        <v>1111</v>
      </c>
      <c r="B670" t="s">
        <v>1267</v>
      </c>
      <c r="C670" t="s">
        <v>1268</v>
      </c>
      <c r="D670" s="1">
        <v>46224</v>
      </c>
      <c r="E670">
        <v>47357.48</v>
      </c>
      <c r="F670" t="s">
        <v>9</v>
      </c>
    </row>
    <row r="671" spans="1:6">
      <c r="A671" t="s">
        <v>1111</v>
      </c>
      <c r="B671" t="s">
        <v>1269</v>
      </c>
      <c r="C671" t="s">
        <v>1270</v>
      </c>
      <c r="D671" s="1">
        <v>46225</v>
      </c>
      <c r="E671">
        <v>328521.34999999998</v>
      </c>
      <c r="F671" t="s">
        <v>9</v>
      </c>
    </row>
    <row r="672" spans="1:6">
      <c r="A672" t="s">
        <v>1111</v>
      </c>
      <c r="B672" t="s">
        <v>1271</v>
      </c>
      <c r="C672" t="s">
        <v>801</v>
      </c>
      <c r="D672" s="1">
        <v>46225</v>
      </c>
      <c r="E672">
        <v>6449.68</v>
      </c>
      <c r="F672" t="s">
        <v>26</v>
      </c>
    </row>
    <row r="673" spans="1:6">
      <c r="A673" t="s">
        <v>1111</v>
      </c>
      <c r="B673" t="s">
        <v>1272</v>
      </c>
      <c r="C673" t="s">
        <v>1273</v>
      </c>
      <c r="D673" s="1">
        <v>46225</v>
      </c>
      <c r="E673">
        <v>65907.8</v>
      </c>
      <c r="F673" t="s">
        <v>9</v>
      </c>
    </row>
    <row r="674" spans="1:6">
      <c r="A674" t="s">
        <v>1111</v>
      </c>
      <c r="B674" t="s">
        <v>1274</v>
      </c>
      <c r="C674" t="s">
        <v>1275</v>
      </c>
      <c r="D674" s="1">
        <v>46225</v>
      </c>
      <c r="E674">
        <v>21906.62</v>
      </c>
      <c r="F674" t="s">
        <v>16</v>
      </c>
    </row>
    <row r="675" spans="1:6">
      <c r="A675" t="s">
        <v>1111</v>
      </c>
      <c r="B675" t="s">
        <v>1276</v>
      </c>
      <c r="C675" t="s">
        <v>1277</v>
      </c>
      <c r="D675" s="1">
        <v>46225</v>
      </c>
      <c r="E675">
        <v>177239.15</v>
      </c>
      <c r="F675" t="s">
        <v>9</v>
      </c>
    </row>
    <row r="676" spans="1:6">
      <c r="A676" t="s">
        <v>1111</v>
      </c>
      <c r="B676" t="s">
        <v>1278</v>
      </c>
      <c r="C676" t="s">
        <v>1279</v>
      </c>
      <c r="D676" s="1">
        <v>46225</v>
      </c>
      <c r="E676">
        <v>154803.07999999999</v>
      </c>
      <c r="F676" t="s">
        <v>9</v>
      </c>
    </row>
    <row r="677" spans="1:6">
      <c r="A677" t="s">
        <v>1111</v>
      </c>
      <c r="B677" t="s">
        <v>1280</v>
      </c>
      <c r="C677" t="s">
        <v>1281</v>
      </c>
      <c r="D677" s="1">
        <v>46226</v>
      </c>
      <c r="E677">
        <v>65148.89</v>
      </c>
      <c r="F677" t="s">
        <v>9</v>
      </c>
    </row>
    <row r="678" spans="1:6">
      <c r="A678" t="s">
        <v>1111</v>
      </c>
      <c r="B678" t="s">
        <v>1282</v>
      </c>
      <c r="C678" t="s">
        <v>1283</v>
      </c>
      <c r="D678" s="1">
        <v>46226</v>
      </c>
      <c r="E678">
        <v>50013.440000000002</v>
      </c>
      <c r="F678" t="s">
        <v>9</v>
      </c>
    </row>
    <row r="679" spans="1:6">
      <c r="A679" t="s">
        <v>1111</v>
      </c>
      <c r="B679" t="s">
        <v>1284</v>
      </c>
      <c r="C679" t="s">
        <v>1285</v>
      </c>
      <c r="D679" s="1">
        <v>46226</v>
      </c>
      <c r="E679">
        <v>16812.599999999999</v>
      </c>
      <c r="F679" t="s">
        <v>9</v>
      </c>
    </row>
    <row r="680" spans="1:6">
      <c r="A680" t="s">
        <v>1111</v>
      </c>
      <c r="B680" t="s">
        <v>1286</v>
      </c>
      <c r="C680" t="s">
        <v>1287</v>
      </c>
      <c r="D680" s="1">
        <v>46226</v>
      </c>
      <c r="E680">
        <v>32707.279999999999</v>
      </c>
      <c r="F680" t="s">
        <v>9</v>
      </c>
    </row>
    <row r="681" spans="1:6">
      <c r="A681" t="s">
        <v>1111</v>
      </c>
      <c r="B681" t="s">
        <v>1288</v>
      </c>
      <c r="C681" t="s">
        <v>1128</v>
      </c>
      <c r="D681" s="1">
        <v>46227</v>
      </c>
      <c r="E681">
        <v>79466.19</v>
      </c>
      <c r="F681" t="s">
        <v>26</v>
      </c>
    </row>
    <row r="682" spans="1:6">
      <c r="A682" t="s">
        <v>1111</v>
      </c>
      <c r="B682" t="s">
        <v>1289</v>
      </c>
      <c r="C682" t="s">
        <v>1290</v>
      </c>
      <c r="D682" s="1">
        <v>46227</v>
      </c>
      <c r="E682">
        <v>211898.61</v>
      </c>
      <c r="F682" t="s">
        <v>9</v>
      </c>
    </row>
    <row r="683" spans="1:6">
      <c r="A683" t="s">
        <v>1111</v>
      </c>
      <c r="B683" t="s">
        <v>1291</v>
      </c>
      <c r="C683" t="s">
        <v>1292</v>
      </c>
      <c r="D683" s="1">
        <v>46228</v>
      </c>
      <c r="E683">
        <v>342714.56</v>
      </c>
      <c r="F683" t="s">
        <v>9</v>
      </c>
    </row>
    <row r="684" spans="1:6">
      <c r="A684" t="s">
        <v>1111</v>
      </c>
      <c r="B684" t="s">
        <v>1293</v>
      </c>
      <c r="C684" t="s">
        <v>1294</v>
      </c>
      <c r="D684" s="1">
        <v>46228</v>
      </c>
      <c r="E684">
        <v>33729.25</v>
      </c>
      <c r="F684" t="s">
        <v>16</v>
      </c>
    </row>
    <row r="685" spans="1:6">
      <c r="A685" t="s">
        <v>1111</v>
      </c>
      <c r="B685" t="s">
        <v>1295</v>
      </c>
      <c r="C685" t="s">
        <v>1296</v>
      </c>
      <c r="D685" s="1">
        <v>46228</v>
      </c>
      <c r="E685">
        <v>49327.71</v>
      </c>
      <c r="F685" t="s">
        <v>9</v>
      </c>
    </row>
    <row r="686" spans="1:6">
      <c r="A686" t="s">
        <v>1111</v>
      </c>
      <c r="B686" t="s">
        <v>1297</v>
      </c>
      <c r="C686" t="s">
        <v>1298</v>
      </c>
      <c r="D686" s="1">
        <v>46229</v>
      </c>
      <c r="E686">
        <v>244873.88</v>
      </c>
      <c r="F686" t="s">
        <v>9</v>
      </c>
    </row>
    <row r="687" spans="1:6">
      <c r="A687" t="s">
        <v>1111</v>
      </c>
      <c r="B687" t="s">
        <v>1299</v>
      </c>
      <c r="C687" t="s">
        <v>1300</v>
      </c>
      <c r="D687" s="1">
        <v>46229</v>
      </c>
      <c r="E687">
        <v>189568.97</v>
      </c>
      <c r="F687" t="s">
        <v>16</v>
      </c>
    </row>
    <row r="688" spans="1:6">
      <c r="A688" t="s">
        <v>1111</v>
      </c>
      <c r="B688" t="s">
        <v>1301</v>
      </c>
      <c r="C688" t="s">
        <v>1302</v>
      </c>
      <c r="D688" s="1">
        <v>46229</v>
      </c>
      <c r="E688">
        <v>98417.84</v>
      </c>
      <c r="F688" t="s">
        <v>26</v>
      </c>
    </row>
    <row r="689" spans="1:6">
      <c r="A689" t="s">
        <v>1111</v>
      </c>
      <c r="B689" t="s">
        <v>1303</v>
      </c>
      <c r="C689" t="s">
        <v>1304</v>
      </c>
      <c r="D689" s="1">
        <v>46229</v>
      </c>
      <c r="E689">
        <v>1053387.24</v>
      </c>
      <c r="F689" t="s">
        <v>9</v>
      </c>
    </row>
    <row r="690" spans="1:6">
      <c r="A690" t="s">
        <v>1111</v>
      </c>
      <c r="B690" t="s">
        <v>1305</v>
      </c>
      <c r="C690" t="s">
        <v>1306</v>
      </c>
      <c r="D690" s="1">
        <v>46230</v>
      </c>
      <c r="E690">
        <v>1104022.49</v>
      </c>
      <c r="F690" t="s">
        <v>9</v>
      </c>
    </row>
    <row r="691" spans="1:6">
      <c r="A691" t="s">
        <v>1111</v>
      </c>
      <c r="B691" t="s">
        <v>1307</v>
      </c>
      <c r="C691" t="s">
        <v>1308</v>
      </c>
      <c r="D691" s="1">
        <v>46230</v>
      </c>
      <c r="E691">
        <v>96112.26</v>
      </c>
      <c r="F691" t="s">
        <v>9</v>
      </c>
    </row>
    <row r="692" spans="1:6">
      <c r="A692" t="s">
        <v>1111</v>
      </c>
      <c r="B692" t="s">
        <v>1309</v>
      </c>
      <c r="C692" t="s">
        <v>1310</v>
      </c>
      <c r="D692" s="1">
        <v>46230</v>
      </c>
      <c r="E692">
        <v>14171.12</v>
      </c>
      <c r="F692" t="s">
        <v>9</v>
      </c>
    </row>
    <row r="693" spans="1:6">
      <c r="A693" t="s">
        <v>1111</v>
      </c>
      <c r="B693" t="s">
        <v>1311</v>
      </c>
      <c r="C693" t="s">
        <v>1312</v>
      </c>
      <c r="D693" s="1">
        <v>46230</v>
      </c>
      <c r="E693">
        <v>80879.63</v>
      </c>
      <c r="F693" t="s">
        <v>16</v>
      </c>
    </row>
    <row r="694" spans="1:6">
      <c r="A694" t="s">
        <v>1111</v>
      </c>
      <c r="B694" t="s">
        <v>1313</v>
      </c>
      <c r="C694" t="s">
        <v>1314</v>
      </c>
      <c r="D694" s="1">
        <v>46231</v>
      </c>
      <c r="E694">
        <v>552634.6</v>
      </c>
      <c r="F694" t="s">
        <v>16</v>
      </c>
    </row>
    <row r="695" spans="1:6">
      <c r="A695" t="s">
        <v>1111</v>
      </c>
      <c r="B695" t="s">
        <v>1315</v>
      </c>
      <c r="C695" t="s">
        <v>1310</v>
      </c>
      <c r="D695" s="1">
        <v>46231</v>
      </c>
      <c r="E695">
        <v>10208.67</v>
      </c>
      <c r="F695" t="s">
        <v>9</v>
      </c>
    </row>
    <row r="696" spans="1:6">
      <c r="A696" t="s">
        <v>1111</v>
      </c>
      <c r="B696" t="s">
        <v>1316</v>
      </c>
      <c r="C696" t="s">
        <v>743</v>
      </c>
      <c r="D696" s="1">
        <v>46232</v>
      </c>
      <c r="E696">
        <v>23089.59</v>
      </c>
      <c r="F696" t="s">
        <v>16</v>
      </c>
    </row>
    <row r="697" spans="1:6">
      <c r="A697" t="s">
        <v>1111</v>
      </c>
      <c r="B697" t="s">
        <v>1317</v>
      </c>
      <c r="C697" t="s">
        <v>1318</v>
      </c>
      <c r="D697" s="1">
        <v>46232</v>
      </c>
      <c r="E697">
        <v>187111.43</v>
      </c>
      <c r="F697" t="s">
        <v>9</v>
      </c>
    </row>
    <row r="698" spans="1:6">
      <c r="A698" t="s">
        <v>1111</v>
      </c>
      <c r="B698" t="s">
        <v>1319</v>
      </c>
      <c r="C698" t="s">
        <v>1320</v>
      </c>
      <c r="D698" s="1">
        <v>46232</v>
      </c>
      <c r="E698">
        <v>417072.69</v>
      </c>
      <c r="F698" t="s">
        <v>26</v>
      </c>
    </row>
    <row r="699" spans="1:6">
      <c r="A699" t="s">
        <v>1111</v>
      </c>
      <c r="B699" t="s">
        <v>1321</v>
      </c>
      <c r="C699" t="s">
        <v>1322</v>
      </c>
      <c r="D699" s="1">
        <v>46232</v>
      </c>
      <c r="E699">
        <v>122402.33</v>
      </c>
      <c r="F699" t="s">
        <v>9</v>
      </c>
    </row>
    <row r="700" spans="1:6">
      <c r="A700" t="s">
        <v>1111</v>
      </c>
      <c r="B700" t="s">
        <v>1323</v>
      </c>
      <c r="C700" t="s">
        <v>1324</v>
      </c>
      <c r="D700" s="1">
        <v>46233</v>
      </c>
      <c r="E700">
        <v>86711.12</v>
      </c>
      <c r="F700" t="s">
        <v>9</v>
      </c>
    </row>
    <row r="701" spans="1:6">
      <c r="A701" t="s">
        <v>1111</v>
      </c>
      <c r="B701" t="s">
        <v>1325</v>
      </c>
      <c r="C701" t="s">
        <v>1326</v>
      </c>
      <c r="D701" s="1">
        <v>46233</v>
      </c>
      <c r="E701">
        <v>30358.46</v>
      </c>
      <c r="F701" t="s">
        <v>9</v>
      </c>
    </row>
    <row r="702" spans="1:6">
      <c r="A702" t="s">
        <v>1111</v>
      </c>
      <c r="B702" t="s">
        <v>1327</v>
      </c>
      <c r="C702" t="s">
        <v>1328</v>
      </c>
      <c r="D702" s="1">
        <v>46233</v>
      </c>
      <c r="E702">
        <v>165325.25</v>
      </c>
      <c r="F702" t="s">
        <v>9</v>
      </c>
    </row>
    <row r="703" spans="1:6">
      <c r="A703" t="s">
        <v>1111</v>
      </c>
      <c r="B703" t="s">
        <v>1329</v>
      </c>
      <c r="C703" t="s">
        <v>1330</v>
      </c>
      <c r="D703" s="1">
        <v>46233</v>
      </c>
      <c r="E703">
        <v>119720.86</v>
      </c>
      <c r="F703" t="s">
        <v>9</v>
      </c>
    </row>
    <row r="704" spans="1:6">
      <c r="A704" t="s">
        <v>1111</v>
      </c>
      <c r="B704" t="s">
        <v>1331</v>
      </c>
      <c r="C704" t="s">
        <v>1332</v>
      </c>
      <c r="D704" s="1">
        <v>46233</v>
      </c>
      <c r="E704">
        <v>11877.36</v>
      </c>
      <c r="F704" t="s">
        <v>9</v>
      </c>
    </row>
    <row r="705" spans="1:6">
      <c r="A705" t="s">
        <v>1111</v>
      </c>
      <c r="B705" t="s">
        <v>1333</v>
      </c>
      <c r="C705" t="s">
        <v>1334</v>
      </c>
      <c r="D705" s="1">
        <v>46234</v>
      </c>
      <c r="E705">
        <v>794041.67</v>
      </c>
      <c r="F705" t="s">
        <v>9</v>
      </c>
    </row>
    <row r="706" spans="1:6">
      <c r="A706" t="s">
        <v>1111</v>
      </c>
      <c r="B706" t="s">
        <v>1335</v>
      </c>
      <c r="C706" t="s">
        <v>1336</v>
      </c>
      <c r="D706" s="1">
        <v>46217</v>
      </c>
      <c r="E706">
        <v>346085.18</v>
      </c>
      <c r="F706" t="s">
        <v>16</v>
      </c>
    </row>
    <row r="707" spans="1:6">
      <c r="A707" t="s">
        <v>1337</v>
      </c>
      <c r="B707" t="s">
        <v>1338</v>
      </c>
      <c r="C707" t="s">
        <v>1339</v>
      </c>
      <c r="D707" s="1">
        <v>46235</v>
      </c>
      <c r="E707">
        <v>87554.38</v>
      </c>
      <c r="F707" t="s">
        <v>26</v>
      </c>
    </row>
    <row r="708" spans="1:6">
      <c r="A708" t="s">
        <v>1337</v>
      </c>
      <c r="B708" t="s">
        <v>1340</v>
      </c>
      <c r="C708" t="s">
        <v>335</v>
      </c>
      <c r="D708" s="1">
        <v>46235</v>
      </c>
      <c r="E708">
        <v>4877.63</v>
      </c>
      <c r="F708" t="s">
        <v>16</v>
      </c>
    </row>
    <row r="709" spans="1:6">
      <c r="A709" t="s">
        <v>1337</v>
      </c>
      <c r="B709" t="s">
        <v>1341</v>
      </c>
      <c r="C709" t="s">
        <v>1342</v>
      </c>
      <c r="D709" s="1">
        <v>46235</v>
      </c>
      <c r="E709">
        <v>98189.96</v>
      </c>
      <c r="F709" t="s">
        <v>9</v>
      </c>
    </row>
    <row r="710" spans="1:6">
      <c r="A710" t="s">
        <v>1337</v>
      </c>
      <c r="B710" t="s">
        <v>1343</v>
      </c>
      <c r="C710" t="s">
        <v>1344</v>
      </c>
      <c r="D710" s="1">
        <v>46235</v>
      </c>
      <c r="E710">
        <v>141941.98000000001</v>
      </c>
      <c r="F710" t="s">
        <v>26</v>
      </c>
    </row>
    <row r="711" spans="1:6">
      <c r="A711" t="s">
        <v>1337</v>
      </c>
      <c r="B711" t="s">
        <v>1345</v>
      </c>
      <c r="C711" t="s">
        <v>1346</v>
      </c>
      <c r="D711" s="1">
        <v>46235</v>
      </c>
      <c r="E711">
        <v>83222.039999999994</v>
      </c>
      <c r="F711" t="s">
        <v>26</v>
      </c>
    </row>
    <row r="712" spans="1:6">
      <c r="A712" t="s">
        <v>1337</v>
      </c>
      <c r="B712" t="s">
        <v>1347</v>
      </c>
      <c r="C712" t="s">
        <v>1346</v>
      </c>
      <c r="D712" s="1">
        <v>46235</v>
      </c>
      <c r="E712">
        <v>87324.03</v>
      </c>
      <c r="F712" t="s">
        <v>9</v>
      </c>
    </row>
    <row r="713" spans="1:6">
      <c r="A713" t="s">
        <v>1337</v>
      </c>
      <c r="B713" t="s">
        <v>1348</v>
      </c>
      <c r="C713" t="s">
        <v>1349</v>
      </c>
      <c r="D713" s="1">
        <v>46235</v>
      </c>
      <c r="E713">
        <v>10017.48</v>
      </c>
      <c r="F713" t="s">
        <v>9</v>
      </c>
    </row>
    <row r="714" spans="1:6">
      <c r="A714" t="s">
        <v>1337</v>
      </c>
      <c r="B714" t="s">
        <v>1350</v>
      </c>
      <c r="C714" t="s">
        <v>1351</v>
      </c>
      <c r="D714" s="1">
        <v>46235</v>
      </c>
      <c r="E714">
        <v>79779.179999999993</v>
      </c>
      <c r="F714" t="s">
        <v>9</v>
      </c>
    </row>
    <row r="715" spans="1:6">
      <c r="A715" t="s">
        <v>1337</v>
      </c>
      <c r="B715" t="s">
        <v>1352</v>
      </c>
      <c r="C715" t="s">
        <v>1353</v>
      </c>
      <c r="D715" s="1">
        <v>46235</v>
      </c>
      <c r="E715">
        <v>72640.429999999993</v>
      </c>
      <c r="F715" t="s">
        <v>9</v>
      </c>
    </row>
    <row r="716" spans="1:6">
      <c r="A716" t="s">
        <v>1337</v>
      </c>
      <c r="B716" t="s">
        <v>1354</v>
      </c>
      <c r="C716" t="s">
        <v>1355</v>
      </c>
      <c r="D716" s="1">
        <v>46235</v>
      </c>
      <c r="E716">
        <v>34067.65</v>
      </c>
      <c r="F716" t="s">
        <v>9</v>
      </c>
    </row>
    <row r="717" spans="1:6">
      <c r="A717" t="s">
        <v>1337</v>
      </c>
      <c r="B717" t="s">
        <v>1356</v>
      </c>
      <c r="C717" t="s">
        <v>1357</v>
      </c>
      <c r="D717" s="1">
        <v>46235</v>
      </c>
      <c r="E717">
        <v>62414.73</v>
      </c>
      <c r="F717" t="s">
        <v>9</v>
      </c>
    </row>
    <row r="718" spans="1:6">
      <c r="A718" t="s">
        <v>1337</v>
      </c>
      <c r="B718" t="s">
        <v>1358</v>
      </c>
      <c r="C718" t="s">
        <v>1359</v>
      </c>
      <c r="D718" s="1">
        <v>46235</v>
      </c>
      <c r="E718">
        <v>127436.16</v>
      </c>
      <c r="F718" t="s">
        <v>16</v>
      </c>
    </row>
    <row r="719" spans="1:6">
      <c r="A719" t="s">
        <v>1337</v>
      </c>
      <c r="B719" t="s">
        <v>1360</v>
      </c>
      <c r="C719" t="s">
        <v>1361</v>
      </c>
      <c r="D719" s="1">
        <v>46235</v>
      </c>
      <c r="E719">
        <v>420612.94</v>
      </c>
      <c r="F719" t="s">
        <v>16</v>
      </c>
    </row>
    <row r="720" spans="1:6">
      <c r="A720" t="s">
        <v>1337</v>
      </c>
      <c r="B720" t="s">
        <v>1362</v>
      </c>
      <c r="C720" t="s">
        <v>1363</v>
      </c>
      <c r="D720" s="1">
        <v>46235</v>
      </c>
      <c r="E720">
        <v>47719.12</v>
      </c>
      <c r="F720" t="s">
        <v>9</v>
      </c>
    </row>
    <row r="721" spans="1:6">
      <c r="A721" t="s">
        <v>1337</v>
      </c>
      <c r="B721" t="s">
        <v>1364</v>
      </c>
      <c r="C721" t="s">
        <v>1365</v>
      </c>
      <c r="D721" s="1">
        <v>46236</v>
      </c>
      <c r="E721">
        <v>127022.67</v>
      </c>
      <c r="F721" t="s">
        <v>9</v>
      </c>
    </row>
    <row r="722" spans="1:6">
      <c r="A722" t="s">
        <v>1337</v>
      </c>
      <c r="B722" t="s">
        <v>1366</v>
      </c>
      <c r="C722" t="s">
        <v>612</v>
      </c>
      <c r="D722" s="1">
        <v>46236</v>
      </c>
      <c r="E722">
        <v>432901.29</v>
      </c>
      <c r="F722" t="s">
        <v>9</v>
      </c>
    </row>
    <row r="723" spans="1:6">
      <c r="A723" t="s">
        <v>1337</v>
      </c>
      <c r="B723" t="s">
        <v>1367</v>
      </c>
      <c r="C723" t="s">
        <v>1368</v>
      </c>
      <c r="D723" s="1">
        <v>46236</v>
      </c>
      <c r="E723">
        <v>74765.56</v>
      </c>
      <c r="F723" t="s">
        <v>9</v>
      </c>
    </row>
    <row r="724" spans="1:6">
      <c r="A724" t="s">
        <v>1337</v>
      </c>
      <c r="B724" t="s">
        <v>1369</v>
      </c>
      <c r="C724" t="s">
        <v>1370</v>
      </c>
      <c r="D724" s="1">
        <v>46236</v>
      </c>
      <c r="E724">
        <v>604913.81999999995</v>
      </c>
      <c r="F724" t="s">
        <v>26</v>
      </c>
    </row>
    <row r="725" spans="1:6">
      <c r="A725" t="s">
        <v>1337</v>
      </c>
      <c r="B725" t="s">
        <v>1371</v>
      </c>
      <c r="C725" t="s">
        <v>1239</v>
      </c>
      <c r="D725" s="1">
        <v>46236</v>
      </c>
      <c r="E725">
        <v>26471.31</v>
      </c>
      <c r="F725" t="s">
        <v>9</v>
      </c>
    </row>
    <row r="726" spans="1:6">
      <c r="A726" t="s">
        <v>1337</v>
      </c>
      <c r="B726" t="s">
        <v>1372</v>
      </c>
      <c r="C726" t="s">
        <v>1373</v>
      </c>
      <c r="D726" s="1">
        <v>46236</v>
      </c>
      <c r="E726">
        <v>95205.25</v>
      </c>
      <c r="F726" t="s">
        <v>9</v>
      </c>
    </row>
    <row r="727" spans="1:6">
      <c r="A727" t="s">
        <v>1337</v>
      </c>
      <c r="B727" t="s">
        <v>1374</v>
      </c>
      <c r="C727" t="s">
        <v>1375</v>
      </c>
      <c r="D727" s="1">
        <v>46236</v>
      </c>
      <c r="E727">
        <v>382706.2</v>
      </c>
      <c r="F727" t="s">
        <v>9</v>
      </c>
    </row>
    <row r="728" spans="1:6">
      <c r="A728" t="s">
        <v>1337</v>
      </c>
      <c r="B728" t="s">
        <v>1376</v>
      </c>
      <c r="C728" t="s">
        <v>1377</v>
      </c>
      <c r="D728" s="1">
        <v>46236</v>
      </c>
      <c r="E728">
        <v>28088.27</v>
      </c>
      <c r="F728" t="s">
        <v>16</v>
      </c>
    </row>
    <row r="729" spans="1:6">
      <c r="A729" t="s">
        <v>1337</v>
      </c>
      <c r="B729" t="s">
        <v>1378</v>
      </c>
      <c r="C729" t="s">
        <v>1379</v>
      </c>
      <c r="D729" s="1">
        <v>46236</v>
      </c>
      <c r="E729">
        <v>443080.08</v>
      </c>
      <c r="F729" t="s">
        <v>9</v>
      </c>
    </row>
    <row r="730" spans="1:6">
      <c r="A730" t="s">
        <v>1337</v>
      </c>
      <c r="B730" t="s">
        <v>1380</v>
      </c>
      <c r="C730" t="s">
        <v>1381</v>
      </c>
      <c r="D730" s="1">
        <v>46236</v>
      </c>
      <c r="E730">
        <v>34419.730000000003</v>
      </c>
      <c r="F730" t="s">
        <v>9</v>
      </c>
    </row>
    <row r="731" spans="1:6">
      <c r="A731" t="s">
        <v>1337</v>
      </c>
      <c r="B731" t="s">
        <v>1382</v>
      </c>
      <c r="C731" t="s">
        <v>1383</v>
      </c>
      <c r="D731" s="1">
        <v>46236</v>
      </c>
      <c r="E731">
        <v>345820.59</v>
      </c>
      <c r="F731" t="s">
        <v>9</v>
      </c>
    </row>
    <row r="732" spans="1:6">
      <c r="A732" t="s">
        <v>1337</v>
      </c>
      <c r="B732" t="s">
        <v>1384</v>
      </c>
      <c r="C732" t="s">
        <v>1385</v>
      </c>
      <c r="D732" s="1">
        <v>46236</v>
      </c>
      <c r="E732">
        <v>134352.46</v>
      </c>
      <c r="F732" t="s">
        <v>26</v>
      </c>
    </row>
    <row r="733" spans="1:6">
      <c r="A733" t="s">
        <v>1337</v>
      </c>
      <c r="B733" t="s">
        <v>1386</v>
      </c>
      <c r="C733" t="s">
        <v>1387</v>
      </c>
      <c r="D733" s="1">
        <v>46236</v>
      </c>
      <c r="E733">
        <v>185525.97</v>
      </c>
      <c r="F733" t="s">
        <v>9</v>
      </c>
    </row>
    <row r="734" spans="1:6">
      <c r="A734" t="s">
        <v>1337</v>
      </c>
      <c r="B734" t="s">
        <v>1388</v>
      </c>
      <c r="C734" t="s">
        <v>1389</v>
      </c>
      <c r="D734" s="1">
        <v>46236</v>
      </c>
      <c r="E734">
        <v>25589.63</v>
      </c>
      <c r="F734" t="s">
        <v>16</v>
      </c>
    </row>
    <row r="735" spans="1:6">
      <c r="A735" t="s">
        <v>1337</v>
      </c>
      <c r="B735" t="s">
        <v>1390</v>
      </c>
      <c r="C735" t="s">
        <v>1391</v>
      </c>
      <c r="D735" s="1">
        <v>46236</v>
      </c>
      <c r="E735">
        <v>17226.740000000002</v>
      </c>
      <c r="F735" t="s">
        <v>16</v>
      </c>
    </row>
    <row r="736" spans="1:6">
      <c r="A736" t="s">
        <v>1337</v>
      </c>
      <c r="B736" t="s">
        <v>1392</v>
      </c>
      <c r="C736" t="s">
        <v>1393</v>
      </c>
      <c r="D736" s="1">
        <v>46236</v>
      </c>
      <c r="E736">
        <v>24234.959999999999</v>
      </c>
      <c r="F736" t="s">
        <v>9</v>
      </c>
    </row>
    <row r="737" spans="1:6">
      <c r="A737" t="s">
        <v>1337</v>
      </c>
      <c r="B737" t="s">
        <v>1394</v>
      </c>
      <c r="C737" t="s">
        <v>1153</v>
      </c>
      <c r="D737" s="1">
        <v>46237</v>
      </c>
      <c r="E737">
        <v>15476.31</v>
      </c>
      <c r="F737" t="s">
        <v>9</v>
      </c>
    </row>
    <row r="738" spans="1:6">
      <c r="A738" t="s">
        <v>1337</v>
      </c>
      <c r="B738" t="s">
        <v>1395</v>
      </c>
      <c r="C738" t="s">
        <v>1396</v>
      </c>
      <c r="D738" s="1">
        <v>46237</v>
      </c>
      <c r="E738">
        <v>32084.639999999999</v>
      </c>
      <c r="F738" t="s">
        <v>9</v>
      </c>
    </row>
    <row r="739" spans="1:6">
      <c r="A739" t="s">
        <v>1337</v>
      </c>
      <c r="B739" t="s">
        <v>1397</v>
      </c>
      <c r="C739" t="s">
        <v>1398</v>
      </c>
      <c r="D739" s="1">
        <v>46237</v>
      </c>
      <c r="E739">
        <v>12982.49</v>
      </c>
      <c r="F739" t="s">
        <v>9</v>
      </c>
    </row>
    <row r="740" spans="1:6">
      <c r="A740" t="s">
        <v>1337</v>
      </c>
      <c r="B740" t="s">
        <v>1399</v>
      </c>
      <c r="C740" t="s">
        <v>1400</v>
      </c>
      <c r="D740" s="1">
        <v>46237</v>
      </c>
      <c r="E740">
        <v>21926.880000000001</v>
      </c>
      <c r="F740" t="s">
        <v>16</v>
      </c>
    </row>
    <row r="741" spans="1:6">
      <c r="A741" t="s">
        <v>1337</v>
      </c>
      <c r="B741" t="s">
        <v>1401</v>
      </c>
      <c r="C741" t="s">
        <v>1402</v>
      </c>
      <c r="D741" s="1">
        <v>46237</v>
      </c>
      <c r="E741">
        <v>126030.58</v>
      </c>
      <c r="F741" t="s">
        <v>9</v>
      </c>
    </row>
    <row r="742" spans="1:6">
      <c r="A742" t="s">
        <v>1337</v>
      </c>
      <c r="B742" t="s">
        <v>1403</v>
      </c>
      <c r="C742" t="s">
        <v>1404</v>
      </c>
      <c r="D742" s="1">
        <v>46237</v>
      </c>
      <c r="E742">
        <v>28476.63</v>
      </c>
      <c r="F742" t="s">
        <v>9</v>
      </c>
    </row>
    <row r="743" spans="1:6">
      <c r="A743" t="s">
        <v>1337</v>
      </c>
      <c r="B743" t="s">
        <v>1405</v>
      </c>
      <c r="C743" t="s">
        <v>1406</v>
      </c>
      <c r="D743" s="1">
        <v>46237</v>
      </c>
      <c r="E743">
        <v>202769.16</v>
      </c>
      <c r="F743" t="s">
        <v>26</v>
      </c>
    </row>
    <row r="744" spans="1:6">
      <c r="A744" t="s">
        <v>1337</v>
      </c>
      <c r="B744" t="s">
        <v>1407</v>
      </c>
      <c r="C744" t="s">
        <v>1408</v>
      </c>
      <c r="D744" s="1">
        <v>46237</v>
      </c>
      <c r="E744">
        <v>23523.34</v>
      </c>
      <c r="F744" t="s">
        <v>26</v>
      </c>
    </row>
    <row r="745" spans="1:6">
      <c r="A745" t="s">
        <v>1337</v>
      </c>
      <c r="B745" t="s">
        <v>1409</v>
      </c>
      <c r="C745" t="s">
        <v>1410</v>
      </c>
      <c r="D745" s="1">
        <v>46237</v>
      </c>
      <c r="E745">
        <v>52607.839999999997</v>
      </c>
      <c r="F745" t="s">
        <v>26</v>
      </c>
    </row>
    <row r="746" spans="1:6">
      <c r="A746" t="s">
        <v>1337</v>
      </c>
      <c r="B746" t="s">
        <v>1411</v>
      </c>
      <c r="C746" t="s">
        <v>1412</v>
      </c>
      <c r="D746" s="1">
        <v>46237</v>
      </c>
      <c r="E746">
        <v>681964.28</v>
      </c>
      <c r="F746" t="s">
        <v>16</v>
      </c>
    </row>
    <row r="747" spans="1:6">
      <c r="A747" t="s">
        <v>1337</v>
      </c>
      <c r="B747" t="s">
        <v>1413</v>
      </c>
      <c r="C747" t="s">
        <v>1414</v>
      </c>
      <c r="D747" s="1">
        <v>46237</v>
      </c>
      <c r="E747">
        <v>346081.64</v>
      </c>
      <c r="F747" t="s">
        <v>16</v>
      </c>
    </row>
    <row r="748" spans="1:6">
      <c r="A748" t="s">
        <v>1337</v>
      </c>
      <c r="B748" t="s">
        <v>1415</v>
      </c>
      <c r="C748" t="s">
        <v>1416</v>
      </c>
      <c r="D748" s="1">
        <v>46237</v>
      </c>
      <c r="E748">
        <v>778277.15</v>
      </c>
      <c r="F748" t="s">
        <v>16</v>
      </c>
    </row>
    <row r="749" spans="1:6">
      <c r="A749" t="s">
        <v>1337</v>
      </c>
      <c r="B749" t="s">
        <v>1417</v>
      </c>
      <c r="C749" t="s">
        <v>1418</v>
      </c>
      <c r="D749" s="1">
        <v>46238</v>
      </c>
      <c r="E749">
        <v>176479.95</v>
      </c>
      <c r="F749" t="s">
        <v>9</v>
      </c>
    </row>
    <row r="750" spans="1:6">
      <c r="A750" t="s">
        <v>1337</v>
      </c>
      <c r="B750" t="s">
        <v>1419</v>
      </c>
      <c r="C750" t="s">
        <v>1420</v>
      </c>
      <c r="D750" s="1">
        <v>46238</v>
      </c>
      <c r="E750">
        <v>254570.1</v>
      </c>
      <c r="F750" t="s">
        <v>9</v>
      </c>
    </row>
    <row r="751" spans="1:6">
      <c r="A751" t="s">
        <v>1337</v>
      </c>
      <c r="B751" t="s">
        <v>1421</v>
      </c>
      <c r="C751" t="s">
        <v>1422</v>
      </c>
      <c r="D751" s="1">
        <v>46238</v>
      </c>
      <c r="E751">
        <v>550652.22</v>
      </c>
      <c r="F751" t="s">
        <v>9</v>
      </c>
    </row>
    <row r="752" spans="1:6">
      <c r="A752" t="s">
        <v>1337</v>
      </c>
      <c r="B752" t="s">
        <v>1423</v>
      </c>
      <c r="C752" t="s">
        <v>1424</v>
      </c>
      <c r="D752" s="1">
        <v>46238</v>
      </c>
      <c r="E752">
        <v>36501.53</v>
      </c>
      <c r="F752" t="s">
        <v>16</v>
      </c>
    </row>
    <row r="753" spans="1:6">
      <c r="A753" t="s">
        <v>1337</v>
      </c>
      <c r="B753" t="s">
        <v>1425</v>
      </c>
      <c r="C753" t="s">
        <v>1426</v>
      </c>
      <c r="D753" s="1">
        <v>46238</v>
      </c>
      <c r="E753">
        <v>235845.32</v>
      </c>
      <c r="F753" t="s">
        <v>9</v>
      </c>
    </row>
    <row r="754" spans="1:6">
      <c r="A754" t="s">
        <v>1337</v>
      </c>
      <c r="B754" t="s">
        <v>1427</v>
      </c>
      <c r="C754" t="s">
        <v>1428</v>
      </c>
      <c r="D754" s="1">
        <v>46238</v>
      </c>
      <c r="E754">
        <v>2000000</v>
      </c>
      <c r="F754" t="s">
        <v>26</v>
      </c>
    </row>
    <row r="755" spans="1:6">
      <c r="A755" t="s">
        <v>1337</v>
      </c>
      <c r="B755" t="s">
        <v>1429</v>
      </c>
      <c r="C755" t="s">
        <v>1430</v>
      </c>
      <c r="D755" s="1">
        <v>46238</v>
      </c>
      <c r="E755">
        <v>62804.26</v>
      </c>
      <c r="F755" t="s">
        <v>9</v>
      </c>
    </row>
    <row r="756" spans="1:6">
      <c r="A756" t="s">
        <v>1337</v>
      </c>
      <c r="B756" t="s">
        <v>1431</v>
      </c>
      <c r="C756" t="s">
        <v>1432</v>
      </c>
      <c r="D756" s="1">
        <v>46238</v>
      </c>
      <c r="E756">
        <v>3673.1</v>
      </c>
      <c r="F756" t="s">
        <v>9</v>
      </c>
    </row>
    <row r="757" spans="1:6">
      <c r="A757" t="s">
        <v>1337</v>
      </c>
      <c r="B757" t="s">
        <v>1433</v>
      </c>
      <c r="C757" t="s">
        <v>1106</v>
      </c>
      <c r="D757" s="1">
        <v>46238</v>
      </c>
      <c r="E757">
        <v>3284.06</v>
      </c>
      <c r="F757" t="s">
        <v>9</v>
      </c>
    </row>
    <row r="758" spans="1:6">
      <c r="A758" t="s">
        <v>1337</v>
      </c>
      <c r="B758" t="s">
        <v>1434</v>
      </c>
      <c r="C758" t="s">
        <v>1377</v>
      </c>
      <c r="D758" s="1">
        <v>46238</v>
      </c>
      <c r="E758">
        <v>59411.08</v>
      </c>
      <c r="F758" t="s">
        <v>9</v>
      </c>
    </row>
    <row r="759" spans="1:6">
      <c r="A759" t="s">
        <v>1337</v>
      </c>
      <c r="B759" t="s">
        <v>1435</v>
      </c>
      <c r="C759" t="s">
        <v>1436</v>
      </c>
      <c r="D759" s="1">
        <v>46238</v>
      </c>
      <c r="E759">
        <v>884580.96</v>
      </c>
      <c r="F759" t="s">
        <v>16</v>
      </c>
    </row>
    <row r="760" spans="1:6">
      <c r="A760" t="s">
        <v>1337</v>
      </c>
      <c r="B760" t="s">
        <v>1437</v>
      </c>
      <c r="C760" t="s">
        <v>1438</v>
      </c>
      <c r="D760" s="1">
        <v>46238</v>
      </c>
      <c r="E760">
        <v>649930.14</v>
      </c>
      <c r="F760" t="s">
        <v>9</v>
      </c>
    </row>
    <row r="761" spans="1:6">
      <c r="A761" t="s">
        <v>1337</v>
      </c>
      <c r="B761" t="s">
        <v>1439</v>
      </c>
      <c r="C761" t="s">
        <v>1440</v>
      </c>
      <c r="D761" s="1">
        <v>46238</v>
      </c>
      <c r="E761">
        <v>181445.19</v>
      </c>
      <c r="F761" t="s">
        <v>16</v>
      </c>
    </row>
    <row r="762" spans="1:6">
      <c r="A762" t="s">
        <v>1337</v>
      </c>
      <c r="B762" t="s">
        <v>1441</v>
      </c>
      <c r="C762" t="s">
        <v>1442</v>
      </c>
      <c r="D762" s="1">
        <v>46238</v>
      </c>
      <c r="E762">
        <v>32185.46</v>
      </c>
      <c r="F762" t="s">
        <v>26</v>
      </c>
    </row>
    <row r="763" spans="1:6">
      <c r="A763" t="s">
        <v>1337</v>
      </c>
      <c r="B763" t="s">
        <v>1443</v>
      </c>
      <c r="C763" t="s">
        <v>1444</v>
      </c>
      <c r="D763" s="1">
        <v>46238</v>
      </c>
      <c r="E763">
        <v>2000000</v>
      </c>
      <c r="F763" t="s">
        <v>16</v>
      </c>
    </row>
    <row r="764" spans="1:6">
      <c r="A764" t="s">
        <v>1337</v>
      </c>
      <c r="B764" t="s">
        <v>1445</v>
      </c>
      <c r="C764" t="s">
        <v>1446</v>
      </c>
      <c r="D764" s="1">
        <v>46238</v>
      </c>
      <c r="E764">
        <v>586036.93999999994</v>
      </c>
      <c r="F764" t="s">
        <v>9</v>
      </c>
    </row>
    <row r="765" spans="1:6">
      <c r="A765" t="s">
        <v>1337</v>
      </c>
      <c r="B765" t="s">
        <v>1447</v>
      </c>
      <c r="C765" t="s">
        <v>1448</v>
      </c>
      <c r="D765" s="1">
        <v>46238</v>
      </c>
      <c r="E765">
        <v>40713.26</v>
      </c>
      <c r="F765" t="s">
        <v>16</v>
      </c>
    </row>
    <row r="766" spans="1:6">
      <c r="A766" t="s">
        <v>1337</v>
      </c>
      <c r="B766" t="s">
        <v>1449</v>
      </c>
      <c r="C766" t="s">
        <v>1450</v>
      </c>
      <c r="D766" s="1">
        <v>46238</v>
      </c>
      <c r="E766">
        <v>50423.9</v>
      </c>
      <c r="F766" t="s">
        <v>16</v>
      </c>
    </row>
    <row r="767" spans="1:6">
      <c r="A767" t="s">
        <v>1337</v>
      </c>
      <c r="B767" t="s">
        <v>1451</v>
      </c>
      <c r="C767" t="s">
        <v>1452</v>
      </c>
      <c r="D767" s="1">
        <v>46238</v>
      </c>
      <c r="E767">
        <v>294667.02</v>
      </c>
      <c r="F767" t="s">
        <v>9</v>
      </c>
    </row>
    <row r="768" spans="1:6">
      <c r="A768" t="s">
        <v>1337</v>
      </c>
      <c r="B768" t="s">
        <v>1453</v>
      </c>
      <c r="C768" t="s">
        <v>1454</v>
      </c>
      <c r="D768" s="1">
        <v>46239</v>
      </c>
      <c r="E768">
        <v>43731.02</v>
      </c>
      <c r="F768" t="s">
        <v>9</v>
      </c>
    </row>
    <row r="769" spans="1:6">
      <c r="A769" t="s">
        <v>1337</v>
      </c>
      <c r="B769" t="s">
        <v>1455</v>
      </c>
      <c r="C769" t="s">
        <v>1456</v>
      </c>
      <c r="D769" s="1">
        <v>46239</v>
      </c>
      <c r="E769">
        <v>9312.52</v>
      </c>
      <c r="F769" t="s">
        <v>26</v>
      </c>
    </row>
    <row r="770" spans="1:6">
      <c r="A770" t="s">
        <v>1337</v>
      </c>
      <c r="B770" t="s">
        <v>1457</v>
      </c>
      <c r="C770" t="s">
        <v>1458</v>
      </c>
      <c r="D770" s="1">
        <v>46239</v>
      </c>
      <c r="E770">
        <v>222320.5</v>
      </c>
      <c r="F770" t="s">
        <v>26</v>
      </c>
    </row>
    <row r="771" spans="1:6">
      <c r="A771" t="s">
        <v>1337</v>
      </c>
      <c r="B771" t="s">
        <v>1459</v>
      </c>
      <c r="C771" t="s">
        <v>1460</v>
      </c>
      <c r="D771" s="1">
        <v>46239</v>
      </c>
      <c r="E771">
        <v>29240.79</v>
      </c>
      <c r="F771" t="s">
        <v>16</v>
      </c>
    </row>
    <row r="772" spans="1:6">
      <c r="A772" t="s">
        <v>1337</v>
      </c>
      <c r="B772" t="s">
        <v>1461</v>
      </c>
      <c r="C772" t="s">
        <v>1462</v>
      </c>
      <c r="D772" s="1">
        <v>46239</v>
      </c>
      <c r="E772">
        <v>122879.21</v>
      </c>
      <c r="F772" t="s">
        <v>9</v>
      </c>
    </row>
    <row r="773" spans="1:6">
      <c r="A773" t="s">
        <v>1337</v>
      </c>
      <c r="B773" t="s">
        <v>1463</v>
      </c>
      <c r="C773" t="s">
        <v>1464</v>
      </c>
      <c r="D773" s="1">
        <v>46239</v>
      </c>
      <c r="E773">
        <v>961027.82</v>
      </c>
      <c r="F773" t="s">
        <v>26</v>
      </c>
    </row>
    <row r="774" spans="1:6">
      <c r="A774" t="s">
        <v>1337</v>
      </c>
      <c r="B774" t="s">
        <v>1465</v>
      </c>
      <c r="C774" t="s">
        <v>1466</v>
      </c>
      <c r="D774" s="1">
        <v>46239</v>
      </c>
      <c r="E774">
        <v>131898.54999999999</v>
      </c>
      <c r="F774" t="s">
        <v>26</v>
      </c>
    </row>
    <row r="775" spans="1:6">
      <c r="A775" t="s">
        <v>1337</v>
      </c>
      <c r="B775" t="s">
        <v>1467</v>
      </c>
      <c r="C775" t="s">
        <v>1002</v>
      </c>
      <c r="D775" s="1">
        <v>46239</v>
      </c>
      <c r="E775">
        <v>52830.82</v>
      </c>
      <c r="F775" t="s">
        <v>16</v>
      </c>
    </row>
    <row r="776" spans="1:6">
      <c r="A776" t="s">
        <v>1337</v>
      </c>
      <c r="B776" t="s">
        <v>1468</v>
      </c>
      <c r="C776" t="s">
        <v>1469</v>
      </c>
      <c r="D776" s="1">
        <v>46239</v>
      </c>
      <c r="E776">
        <v>144024.66</v>
      </c>
      <c r="F776" t="s">
        <v>26</v>
      </c>
    </row>
    <row r="777" spans="1:6">
      <c r="A777" t="s">
        <v>1337</v>
      </c>
      <c r="B777" t="s">
        <v>1470</v>
      </c>
      <c r="C777" t="s">
        <v>1471</v>
      </c>
      <c r="D777" s="1">
        <v>46239</v>
      </c>
      <c r="E777">
        <v>82263.47</v>
      </c>
      <c r="F777" t="s">
        <v>16</v>
      </c>
    </row>
    <row r="778" spans="1:6">
      <c r="A778" t="s">
        <v>1337</v>
      </c>
      <c r="B778" t="s">
        <v>1472</v>
      </c>
      <c r="C778" t="s">
        <v>1473</v>
      </c>
      <c r="D778" s="1">
        <v>46239</v>
      </c>
      <c r="E778">
        <v>29858.29</v>
      </c>
      <c r="F778" t="s">
        <v>16</v>
      </c>
    </row>
    <row r="779" spans="1:6">
      <c r="A779" t="s">
        <v>1337</v>
      </c>
      <c r="B779" t="s">
        <v>1474</v>
      </c>
      <c r="C779" t="s">
        <v>1475</v>
      </c>
      <c r="D779" s="1">
        <v>46240</v>
      </c>
      <c r="E779">
        <v>61469.87</v>
      </c>
      <c r="F779" t="s">
        <v>9</v>
      </c>
    </row>
    <row r="780" spans="1:6">
      <c r="A780" t="s">
        <v>1337</v>
      </c>
      <c r="B780" t="s">
        <v>1476</v>
      </c>
      <c r="C780" t="s">
        <v>1477</v>
      </c>
      <c r="D780" s="1">
        <v>46240</v>
      </c>
      <c r="E780">
        <v>324443.59999999998</v>
      </c>
      <c r="F780" t="s">
        <v>9</v>
      </c>
    </row>
    <row r="781" spans="1:6">
      <c r="A781" t="s">
        <v>1337</v>
      </c>
      <c r="B781" t="s">
        <v>1478</v>
      </c>
      <c r="C781" t="s">
        <v>1479</v>
      </c>
      <c r="D781" s="1">
        <v>46240</v>
      </c>
      <c r="E781">
        <v>196549.57</v>
      </c>
      <c r="F781" t="s">
        <v>9</v>
      </c>
    </row>
    <row r="782" spans="1:6">
      <c r="A782" t="s">
        <v>1337</v>
      </c>
      <c r="B782" t="s">
        <v>1480</v>
      </c>
      <c r="C782" t="s">
        <v>1481</v>
      </c>
      <c r="D782" s="1">
        <v>46240</v>
      </c>
      <c r="E782">
        <v>475104.7</v>
      </c>
      <c r="F782" t="s">
        <v>16</v>
      </c>
    </row>
    <row r="783" spans="1:6">
      <c r="A783" t="s">
        <v>1337</v>
      </c>
      <c r="B783" t="s">
        <v>1482</v>
      </c>
      <c r="C783" t="s">
        <v>1483</v>
      </c>
      <c r="D783" s="1">
        <v>46240</v>
      </c>
      <c r="E783">
        <v>147066.21</v>
      </c>
      <c r="F783" t="s">
        <v>9</v>
      </c>
    </row>
    <row r="784" spans="1:6">
      <c r="A784" t="s">
        <v>1337</v>
      </c>
      <c r="B784" t="s">
        <v>1484</v>
      </c>
      <c r="C784" t="s">
        <v>1485</v>
      </c>
      <c r="D784" s="1">
        <v>46240</v>
      </c>
      <c r="E784">
        <v>55490.65</v>
      </c>
      <c r="F784" t="s">
        <v>9</v>
      </c>
    </row>
    <row r="785" spans="1:6">
      <c r="A785" t="s">
        <v>1337</v>
      </c>
      <c r="B785" t="s">
        <v>1486</v>
      </c>
      <c r="C785" t="s">
        <v>1487</v>
      </c>
      <c r="D785" s="1">
        <v>46240</v>
      </c>
      <c r="E785">
        <v>82949.23</v>
      </c>
      <c r="F785" t="s">
        <v>9</v>
      </c>
    </row>
    <row r="786" spans="1:6">
      <c r="A786" t="s">
        <v>1337</v>
      </c>
      <c r="B786" t="s">
        <v>1488</v>
      </c>
      <c r="C786" t="s">
        <v>1489</v>
      </c>
      <c r="D786" s="1">
        <v>46240</v>
      </c>
      <c r="E786">
        <v>76109.58</v>
      </c>
      <c r="F786" t="s">
        <v>26</v>
      </c>
    </row>
    <row r="787" spans="1:6">
      <c r="A787" t="s">
        <v>1337</v>
      </c>
      <c r="B787" t="s">
        <v>1490</v>
      </c>
      <c r="C787" t="s">
        <v>1491</v>
      </c>
      <c r="D787" s="1">
        <v>46240</v>
      </c>
      <c r="E787">
        <v>1108504.67</v>
      </c>
      <c r="F787" t="s">
        <v>9</v>
      </c>
    </row>
    <row r="788" spans="1:6">
      <c r="A788" t="s">
        <v>1337</v>
      </c>
      <c r="B788" t="s">
        <v>1492</v>
      </c>
      <c r="C788" t="s">
        <v>1448</v>
      </c>
      <c r="D788" s="1">
        <v>46240</v>
      </c>
      <c r="E788">
        <v>45455.63</v>
      </c>
      <c r="F788" t="s">
        <v>9</v>
      </c>
    </row>
    <row r="789" spans="1:6">
      <c r="A789" t="s">
        <v>1337</v>
      </c>
      <c r="B789" t="s">
        <v>1493</v>
      </c>
      <c r="C789" t="s">
        <v>1494</v>
      </c>
      <c r="D789" s="1">
        <v>46240</v>
      </c>
      <c r="E789">
        <v>62626.98</v>
      </c>
      <c r="F789" t="s">
        <v>9</v>
      </c>
    </row>
    <row r="790" spans="1:6">
      <c r="A790" t="s">
        <v>1337</v>
      </c>
      <c r="B790" t="s">
        <v>1495</v>
      </c>
      <c r="C790" t="s">
        <v>1496</v>
      </c>
      <c r="D790" s="1">
        <v>46240</v>
      </c>
      <c r="E790">
        <v>505604.79</v>
      </c>
      <c r="F790" t="s">
        <v>9</v>
      </c>
    </row>
    <row r="791" spans="1:6">
      <c r="A791" t="s">
        <v>1337</v>
      </c>
      <c r="B791" t="s">
        <v>1497</v>
      </c>
      <c r="C791" t="s">
        <v>1498</v>
      </c>
      <c r="D791" s="1">
        <v>46240</v>
      </c>
      <c r="E791">
        <v>157197.9</v>
      </c>
      <c r="F791" t="s">
        <v>9</v>
      </c>
    </row>
    <row r="792" spans="1:6">
      <c r="A792" t="s">
        <v>1337</v>
      </c>
      <c r="B792" t="s">
        <v>1499</v>
      </c>
      <c r="C792" t="s">
        <v>1498</v>
      </c>
      <c r="D792" s="1">
        <v>46240</v>
      </c>
      <c r="E792">
        <v>265214.58</v>
      </c>
      <c r="F792" t="s">
        <v>9</v>
      </c>
    </row>
    <row r="793" spans="1:6">
      <c r="A793" t="s">
        <v>1337</v>
      </c>
      <c r="B793" t="s">
        <v>1500</v>
      </c>
      <c r="C793" t="s">
        <v>1501</v>
      </c>
      <c r="D793" s="1">
        <v>46240</v>
      </c>
      <c r="E793">
        <v>16353.43</v>
      </c>
      <c r="F793" t="s">
        <v>16</v>
      </c>
    </row>
    <row r="794" spans="1:6">
      <c r="A794" t="s">
        <v>1337</v>
      </c>
      <c r="B794" t="s">
        <v>1502</v>
      </c>
      <c r="C794" t="s">
        <v>1503</v>
      </c>
      <c r="D794" s="1">
        <v>46240</v>
      </c>
      <c r="E794">
        <v>48466.02</v>
      </c>
      <c r="F794" t="s">
        <v>26</v>
      </c>
    </row>
    <row r="795" spans="1:6">
      <c r="A795" t="s">
        <v>1337</v>
      </c>
      <c r="B795" t="s">
        <v>1504</v>
      </c>
      <c r="C795" t="s">
        <v>1505</v>
      </c>
      <c r="D795" s="1">
        <v>46240</v>
      </c>
      <c r="E795">
        <v>12513.11</v>
      </c>
      <c r="F795" t="s">
        <v>9</v>
      </c>
    </row>
    <row r="796" spans="1:6">
      <c r="A796" t="s">
        <v>1337</v>
      </c>
      <c r="B796" t="s">
        <v>1506</v>
      </c>
      <c r="C796" t="s">
        <v>1507</v>
      </c>
      <c r="D796" s="1">
        <v>46240</v>
      </c>
      <c r="E796">
        <v>1057239.21</v>
      </c>
      <c r="F796" t="s">
        <v>9</v>
      </c>
    </row>
    <row r="797" spans="1:6">
      <c r="A797" t="s">
        <v>1337</v>
      </c>
      <c r="B797" t="s">
        <v>1508</v>
      </c>
      <c r="C797" t="s">
        <v>1509</v>
      </c>
      <c r="D797" s="1">
        <v>46240</v>
      </c>
      <c r="E797">
        <v>61511.81</v>
      </c>
      <c r="F797" t="s">
        <v>9</v>
      </c>
    </row>
    <row r="798" spans="1:6">
      <c r="A798" t="s">
        <v>1337</v>
      </c>
      <c r="B798" t="s">
        <v>1510</v>
      </c>
      <c r="C798" t="s">
        <v>1511</v>
      </c>
      <c r="D798" s="1">
        <v>46241</v>
      </c>
      <c r="E798">
        <v>1445477.95</v>
      </c>
      <c r="F798" t="s">
        <v>9</v>
      </c>
    </row>
    <row r="799" spans="1:6">
      <c r="A799" t="s">
        <v>1337</v>
      </c>
      <c r="B799" t="s">
        <v>1512</v>
      </c>
      <c r="C799" t="s">
        <v>1513</v>
      </c>
      <c r="D799" s="1">
        <v>46241</v>
      </c>
      <c r="E799">
        <v>93835.86</v>
      </c>
      <c r="F799" t="s">
        <v>26</v>
      </c>
    </row>
    <row r="800" spans="1:6">
      <c r="A800" t="s">
        <v>1337</v>
      </c>
      <c r="B800" t="s">
        <v>1514</v>
      </c>
      <c r="C800" t="s">
        <v>1515</v>
      </c>
      <c r="D800" s="1">
        <v>46241</v>
      </c>
      <c r="E800">
        <v>630088.47</v>
      </c>
      <c r="F800" t="s">
        <v>9</v>
      </c>
    </row>
    <row r="801" spans="1:6">
      <c r="A801" t="s">
        <v>1337</v>
      </c>
      <c r="B801" t="s">
        <v>1516</v>
      </c>
      <c r="C801" t="s">
        <v>1517</v>
      </c>
      <c r="D801" s="1">
        <v>46241</v>
      </c>
      <c r="E801">
        <v>20206.22</v>
      </c>
      <c r="F801" t="s">
        <v>26</v>
      </c>
    </row>
    <row r="802" spans="1:6">
      <c r="A802" t="s">
        <v>1337</v>
      </c>
      <c r="B802" t="s">
        <v>1518</v>
      </c>
      <c r="C802" t="s">
        <v>1519</v>
      </c>
      <c r="D802" s="1">
        <v>46241</v>
      </c>
      <c r="E802">
        <v>305357.05</v>
      </c>
      <c r="F802" t="s">
        <v>16</v>
      </c>
    </row>
    <row r="803" spans="1:6">
      <c r="A803" t="s">
        <v>1337</v>
      </c>
      <c r="B803" t="s">
        <v>1520</v>
      </c>
      <c r="C803" t="s">
        <v>1521</v>
      </c>
      <c r="D803" s="1">
        <v>46241</v>
      </c>
      <c r="E803">
        <v>136817.41</v>
      </c>
      <c r="F803" t="s">
        <v>9</v>
      </c>
    </row>
    <row r="804" spans="1:6">
      <c r="A804" t="s">
        <v>1337</v>
      </c>
      <c r="B804" t="s">
        <v>1522</v>
      </c>
      <c r="C804" t="s">
        <v>1523</v>
      </c>
      <c r="D804" s="1">
        <v>46241</v>
      </c>
      <c r="E804">
        <v>196692.9</v>
      </c>
      <c r="F804" t="s">
        <v>26</v>
      </c>
    </row>
    <row r="805" spans="1:6">
      <c r="A805" t="s">
        <v>1337</v>
      </c>
      <c r="B805" t="s">
        <v>1524</v>
      </c>
      <c r="C805" t="s">
        <v>1525</v>
      </c>
      <c r="D805" s="1">
        <v>46241</v>
      </c>
      <c r="E805">
        <v>62161.11</v>
      </c>
      <c r="F805" t="s">
        <v>16</v>
      </c>
    </row>
    <row r="806" spans="1:6">
      <c r="A806" t="s">
        <v>1337</v>
      </c>
      <c r="B806" t="s">
        <v>1526</v>
      </c>
      <c r="C806" t="s">
        <v>1527</v>
      </c>
      <c r="D806" s="1">
        <v>46241</v>
      </c>
      <c r="E806">
        <v>68933.03</v>
      </c>
      <c r="F806" t="s">
        <v>26</v>
      </c>
    </row>
    <row r="807" spans="1:6">
      <c r="A807" t="s">
        <v>1337</v>
      </c>
      <c r="B807" t="s">
        <v>1528</v>
      </c>
      <c r="C807" t="s">
        <v>1529</v>
      </c>
      <c r="D807" s="1">
        <v>46241</v>
      </c>
      <c r="E807">
        <v>117683.1</v>
      </c>
      <c r="F807" t="s">
        <v>9</v>
      </c>
    </row>
    <row r="808" spans="1:6">
      <c r="A808" t="s">
        <v>1337</v>
      </c>
      <c r="B808" t="s">
        <v>1530</v>
      </c>
      <c r="C808" t="s">
        <v>1531</v>
      </c>
      <c r="D808" s="1">
        <v>46241</v>
      </c>
      <c r="E808">
        <v>85104.44</v>
      </c>
      <c r="F808" t="s">
        <v>16</v>
      </c>
    </row>
    <row r="809" spans="1:6">
      <c r="A809" t="s">
        <v>1337</v>
      </c>
      <c r="B809" t="s">
        <v>1532</v>
      </c>
      <c r="C809" t="s">
        <v>1531</v>
      </c>
      <c r="D809" s="1">
        <v>46241</v>
      </c>
      <c r="E809">
        <v>128014.88</v>
      </c>
      <c r="F809" t="s">
        <v>9</v>
      </c>
    </row>
    <row r="810" spans="1:6">
      <c r="A810" t="s">
        <v>1337</v>
      </c>
      <c r="B810" t="s">
        <v>1533</v>
      </c>
      <c r="C810" t="s">
        <v>1534</v>
      </c>
      <c r="D810" s="1">
        <v>46241</v>
      </c>
      <c r="E810">
        <v>70200.52</v>
      </c>
      <c r="F810" t="s">
        <v>9</v>
      </c>
    </row>
    <row r="811" spans="1:6">
      <c r="A811" t="s">
        <v>1337</v>
      </c>
      <c r="B811" t="s">
        <v>1535</v>
      </c>
      <c r="C811" t="s">
        <v>1536</v>
      </c>
      <c r="D811" s="1">
        <v>46241</v>
      </c>
      <c r="E811">
        <v>91988.77</v>
      </c>
      <c r="F811" t="s">
        <v>16</v>
      </c>
    </row>
    <row r="812" spans="1:6">
      <c r="A812" t="s">
        <v>1337</v>
      </c>
      <c r="B812" t="s">
        <v>1537</v>
      </c>
      <c r="C812" t="s">
        <v>1538</v>
      </c>
      <c r="D812" s="1">
        <v>46241</v>
      </c>
      <c r="E812">
        <v>26307</v>
      </c>
      <c r="F812" t="s">
        <v>9</v>
      </c>
    </row>
    <row r="813" spans="1:6">
      <c r="A813" t="s">
        <v>1337</v>
      </c>
      <c r="B813" t="s">
        <v>1539</v>
      </c>
      <c r="C813" t="s">
        <v>1540</v>
      </c>
      <c r="D813" s="1">
        <v>46241</v>
      </c>
      <c r="E813">
        <v>34050.800000000003</v>
      </c>
      <c r="F813" t="s">
        <v>16</v>
      </c>
    </row>
    <row r="814" spans="1:6">
      <c r="A814" t="s">
        <v>1337</v>
      </c>
      <c r="B814" t="s">
        <v>1541</v>
      </c>
      <c r="C814" t="s">
        <v>1542</v>
      </c>
      <c r="D814" s="1">
        <v>46241</v>
      </c>
      <c r="E814">
        <v>565680.36</v>
      </c>
      <c r="F814" t="s">
        <v>26</v>
      </c>
    </row>
    <row r="815" spans="1:6">
      <c r="A815" t="s">
        <v>1337</v>
      </c>
      <c r="B815" t="s">
        <v>1543</v>
      </c>
      <c r="C815" t="s">
        <v>1544</v>
      </c>
      <c r="D815" s="1">
        <v>46241</v>
      </c>
      <c r="E815">
        <v>22528.71</v>
      </c>
      <c r="F815" t="s">
        <v>9</v>
      </c>
    </row>
    <row r="816" spans="1:6">
      <c r="A816" t="s">
        <v>1337</v>
      </c>
      <c r="B816" t="s">
        <v>1545</v>
      </c>
      <c r="C816" t="s">
        <v>1546</v>
      </c>
      <c r="D816" s="1">
        <v>46241</v>
      </c>
      <c r="E816">
        <v>29270.080000000002</v>
      </c>
      <c r="F816" t="s">
        <v>9</v>
      </c>
    </row>
    <row r="817" spans="1:6">
      <c r="A817" t="s">
        <v>1337</v>
      </c>
      <c r="B817" t="s">
        <v>1547</v>
      </c>
      <c r="C817" t="s">
        <v>1548</v>
      </c>
      <c r="D817" s="1">
        <v>46241</v>
      </c>
      <c r="E817">
        <v>353055.02</v>
      </c>
      <c r="F817" t="s">
        <v>9</v>
      </c>
    </row>
    <row r="818" spans="1:6">
      <c r="A818" t="s">
        <v>1337</v>
      </c>
      <c r="B818" t="s">
        <v>1549</v>
      </c>
      <c r="C818" t="s">
        <v>1550</v>
      </c>
      <c r="D818" s="1">
        <v>46241</v>
      </c>
      <c r="E818">
        <v>54970.48</v>
      </c>
      <c r="F818" t="s">
        <v>9</v>
      </c>
    </row>
    <row r="819" spans="1:6">
      <c r="A819" t="s">
        <v>1337</v>
      </c>
      <c r="B819" t="s">
        <v>1551</v>
      </c>
      <c r="C819" t="s">
        <v>590</v>
      </c>
      <c r="D819" s="1">
        <v>46242</v>
      </c>
      <c r="E819">
        <v>16728.46</v>
      </c>
      <c r="F819" t="s">
        <v>16</v>
      </c>
    </row>
    <row r="820" spans="1:6">
      <c r="A820" t="s">
        <v>1337</v>
      </c>
      <c r="B820" t="s">
        <v>1552</v>
      </c>
      <c r="C820" t="s">
        <v>1553</v>
      </c>
      <c r="D820" s="1">
        <v>46242</v>
      </c>
      <c r="E820">
        <v>5004.04</v>
      </c>
      <c r="F820" t="s">
        <v>9</v>
      </c>
    </row>
    <row r="821" spans="1:6">
      <c r="A821" t="s">
        <v>1337</v>
      </c>
      <c r="B821" t="s">
        <v>1554</v>
      </c>
      <c r="C821" t="s">
        <v>1555</v>
      </c>
      <c r="D821" s="1">
        <v>46242</v>
      </c>
      <c r="E821">
        <v>109441.88</v>
      </c>
      <c r="F821" t="s">
        <v>16</v>
      </c>
    </row>
    <row r="822" spans="1:6">
      <c r="A822" t="s">
        <v>1337</v>
      </c>
      <c r="B822" t="s">
        <v>1556</v>
      </c>
      <c r="C822" t="s">
        <v>1557</v>
      </c>
      <c r="D822" s="1">
        <v>46242</v>
      </c>
      <c r="E822">
        <v>2000000</v>
      </c>
      <c r="F822" t="s">
        <v>26</v>
      </c>
    </row>
    <row r="823" spans="1:6">
      <c r="A823" t="s">
        <v>1337</v>
      </c>
      <c r="B823" t="s">
        <v>1558</v>
      </c>
      <c r="C823" t="s">
        <v>1559</v>
      </c>
      <c r="D823" s="1">
        <v>46242</v>
      </c>
      <c r="E823">
        <v>227605.26</v>
      </c>
      <c r="F823" t="s">
        <v>9</v>
      </c>
    </row>
    <row r="824" spans="1:6">
      <c r="A824" t="s">
        <v>1337</v>
      </c>
      <c r="B824" t="s">
        <v>1560</v>
      </c>
      <c r="C824" t="s">
        <v>1561</v>
      </c>
      <c r="D824" s="1">
        <v>46242</v>
      </c>
      <c r="E824">
        <v>94538.4</v>
      </c>
      <c r="F824" t="s">
        <v>9</v>
      </c>
    </row>
    <row r="825" spans="1:6">
      <c r="A825" t="s">
        <v>1337</v>
      </c>
      <c r="B825" t="s">
        <v>1562</v>
      </c>
      <c r="C825" t="s">
        <v>1563</v>
      </c>
      <c r="D825" s="1">
        <v>46242</v>
      </c>
      <c r="E825">
        <v>84530.51</v>
      </c>
      <c r="F825" t="s">
        <v>16</v>
      </c>
    </row>
    <row r="826" spans="1:6">
      <c r="A826" t="s">
        <v>1337</v>
      </c>
      <c r="B826" t="s">
        <v>1564</v>
      </c>
      <c r="C826" t="s">
        <v>1565</v>
      </c>
      <c r="D826" s="1">
        <v>46242</v>
      </c>
      <c r="E826">
        <v>325765.06</v>
      </c>
      <c r="F826" t="s">
        <v>9</v>
      </c>
    </row>
    <row r="827" spans="1:6">
      <c r="A827" t="s">
        <v>1337</v>
      </c>
      <c r="B827" t="s">
        <v>1566</v>
      </c>
      <c r="C827" t="s">
        <v>1567</v>
      </c>
      <c r="D827" s="1">
        <v>46242</v>
      </c>
      <c r="E827">
        <v>28881.83</v>
      </c>
      <c r="F827" t="s">
        <v>9</v>
      </c>
    </row>
    <row r="828" spans="1:6">
      <c r="A828" t="s">
        <v>1337</v>
      </c>
      <c r="B828" t="s">
        <v>1568</v>
      </c>
      <c r="C828" t="s">
        <v>1569</v>
      </c>
      <c r="D828" s="1">
        <v>46242</v>
      </c>
      <c r="E828">
        <v>38761.379999999997</v>
      </c>
      <c r="F828" t="s">
        <v>9</v>
      </c>
    </row>
    <row r="829" spans="1:6">
      <c r="A829" t="s">
        <v>1337</v>
      </c>
      <c r="B829" t="s">
        <v>1570</v>
      </c>
      <c r="C829" t="s">
        <v>1571</v>
      </c>
      <c r="D829" s="1">
        <v>46242</v>
      </c>
      <c r="E829">
        <v>321040.61</v>
      </c>
      <c r="F829" t="s">
        <v>26</v>
      </c>
    </row>
    <row r="830" spans="1:6">
      <c r="A830" t="s">
        <v>1337</v>
      </c>
      <c r="B830" t="s">
        <v>1572</v>
      </c>
      <c r="C830" t="s">
        <v>1573</v>
      </c>
      <c r="D830" s="1">
        <v>46242</v>
      </c>
      <c r="E830">
        <v>135891.32</v>
      </c>
      <c r="F830" t="s">
        <v>9</v>
      </c>
    </row>
    <row r="831" spans="1:6">
      <c r="A831" t="s">
        <v>1337</v>
      </c>
      <c r="B831" t="s">
        <v>1574</v>
      </c>
      <c r="C831" t="s">
        <v>1575</v>
      </c>
      <c r="D831" s="1">
        <v>46242</v>
      </c>
      <c r="E831">
        <v>13172.07</v>
      </c>
      <c r="F831" t="s">
        <v>9</v>
      </c>
    </row>
    <row r="832" spans="1:6">
      <c r="A832" t="s">
        <v>1337</v>
      </c>
      <c r="B832" t="s">
        <v>1576</v>
      </c>
      <c r="C832" t="s">
        <v>1577</v>
      </c>
      <c r="D832" s="1">
        <v>46242</v>
      </c>
      <c r="E832">
        <v>6744.4</v>
      </c>
      <c r="F832" t="s">
        <v>9</v>
      </c>
    </row>
    <row r="833" spans="1:6">
      <c r="A833" t="s">
        <v>1337</v>
      </c>
      <c r="B833" t="s">
        <v>1578</v>
      </c>
      <c r="C833" t="s">
        <v>1579</v>
      </c>
      <c r="D833" s="1">
        <v>46242</v>
      </c>
      <c r="E833">
        <v>560937.81999999995</v>
      </c>
      <c r="F833" t="s">
        <v>16</v>
      </c>
    </row>
    <row r="834" spans="1:6">
      <c r="A834" t="s">
        <v>1337</v>
      </c>
      <c r="B834" t="s">
        <v>1580</v>
      </c>
      <c r="C834" t="s">
        <v>1581</v>
      </c>
      <c r="D834" s="1">
        <v>46243</v>
      </c>
      <c r="E834">
        <v>397417.48</v>
      </c>
      <c r="F834" t="s">
        <v>26</v>
      </c>
    </row>
    <row r="835" spans="1:6">
      <c r="A835" t="s">
        <v>1337</v>
      </c>
      <c r="B835" t="s">
        <v>1582</v>
      </c>
      <c r="C835" t="s">
        <v>1583</v>
      </c>
      <c r="D835" s="1">
        <v>46243</v>
      </c>
      <c r="E835">
        <v>545048.31999999995</v>
      </c>
      <c r="F835" t="s">
        <v>9</v>
      </c>
    </row>
    <row r="836" spans="1:6">
      <c r="A836" t="s">
        <v>1337</v>
      </c>
      <c r="B836" t="s">
        <v>1584</v>
      </c>
      <c r="C836" t="s">
        <v>1585</v>
      </c>
      <c r="D836" s="1">
        <v>46243</v>
      </c>
      <c r="E836">
        <v>101149.25</v>
      </c>
      <c r="F836" t="s">
        <v>9</v>
      </c>
    </row>
    <row r="837" spans="1:6">
      <c r="A837" t="s">
        <v>1337</v>
      </c>
      <c r="B837" t="s">
        <v>1586</v>
      </c>
      <c r="C837" t="s">
        <v>679</v>
      </c>
      <c r="D837" s="1">
        <v>46243</v>
      </c>
      <c r="E837">
        <v>241886.24</v>
      </c>
      <c r="F837" t="s">
        <v>16</v>
      </c>
    </row>
    <row r="838" spans="1:6">
      <c r="A838" t="s">
        <v>1337</v>
      </c>
      <c r="B838" t="s">
        <v>1587</v>
      </c>
      <c r="C838" t="s">
        <v>1588</v>
      </c>
      <c r="D838" s="1">
        <v>46243</v>
      </c>
      <c r="E838">
        <v>21469.73</v>
      </c>
      <c r="F838" t="s">
        <v>16</v>
      </c>
    </row>
    <row r="839" spans="1:6">
      <c r="A839" t="s">
        <v>1337</v>
      </c>
      <c r="B839" t="s">
        <v>1589</v>
      </c>
      <c r="C839" t="s">
        <v>1590</v>
      </c>
      <c r="D839" s="1">
        <v>46243</v>
      </c>
      <c r="E839">
        <v>39700.75</v>
      </c>
      <c r="F839" t="s">
        <v>9</v>
      </c>
    </row>
    <row r="840" spans="1:6">
      <c r="A840" t="s">
        <v>1337</v>
      </c>
      <c r="B840" t="s">
        <v>1591</v>
      </c>
      <c r="C840" t="s">
        <v>1592</v>
      </c>
      <c r="D840" s="1">
        <v>46243</v>
      </c>
      <c r="E840">
        <v>13680.43</v>
      </c>
      <c r="F840" t="s">
        <v>9</v>
      </c>
    </row>
    <row r="841" spans="1:6">
      <c r="A841" t="s">
        <v>1337</v>
      </c>
      <c r="B841" t="s">
        <v>1593</v>
      </c>
      <c r="C841" t="s">
        <v>1594</v>
      </c>
      <c r="D841" s="1">
        <v>46243</v>
      </c>
      <c r="E841">
        <v>1147673.67</v>
      </c>
      <c r="F841" t="s">
        <v>16</v>
      </c>
    </row>
    <row r="842" spans="1:6">
      <c r="A842" t="s">
        <v>1337</v>
      </c>
      <c r="B842" t="s">
        <v>1595</v>
      </c>
      <c r="C842" t="s">
        <v>1487</v>
      </c>
      <c r="D842" s="1">
        <v>46243</v>
      </c>
      <c r="E842">
        <v>83957.42</v>
      </c>
      <c r="F842" t="s">
        <v>16</v>
      </c>
    </row>
    <row r="843" spans="1:6">
      <c r="A843" t="s">
        <v>1337</v>
      </c>
      <c r="B843" t="s">
        <v>1596</v>
      </c>
      <c r="C843" t="s">
        <v>1597</v>
      </c>
      <c r="D843" s="1">
        <v>46243</v>
      </c>
      <c r="E843">
        <v>143035.41</v>
      </c>
      <c r="F843" t="s">
        <v>26</v>
      </c>
    </row>
    <row r="844" spans="1:6">
      <c r="A844" t="s">
        <v>1337</v>
      </c>
      <c r="B844" t="s">
        <v>1598</v>
      </c>
      <c r="C844" t="s">
        <v>1599</v>
      </c>
      <c r="D844" s="1">
        <v>46243</v>
      </c>
      <c r="E844">
        <v>204545.5</v>
      </c>
      <c r="F844" t="s">
        <v>9</v>
      </c>
    </row>
    <row r="845" spans="1:6">
      <c r="A845" t="s">
        <v>1337</v>
      </c>
      <c r="B845" t="s">
        <v>1600</v>
      </c>
      <c r="C845" t="s">
        <v>1601</v>
      </c>
      <c r="D845" s="1">
        <v>46243</v>
      </c>
      <c r="E845">
        <v>174655.37</v>
      </c>
      <c r="F845" t="s">
        <v>9</v>
      </c>
    </row>
    <row r="846" spans="1:6">
      <c r="A846" t="s">
        <v>1337</v>
      </c>
      <c r="B846" t="s">
        <v>1602</v>
      </c>
      <c r="C846" t="s">
        <v>1603</v>
      </c>
      <c r="D846" s="1">
        <v>46243</v>
      </c>
      <c r="E846">
        <v>18589.72</v>
      </c>
      <c r="F846" t="s">
        <v>9</v>
      </c>
    </row>
    <row r="847" spans="1:6">
      <c r="A847" t="s">
        <v>1337</v>
      </c>
      <c r="B847" t="s">
        <v>1604</v>
      </c>
      <c r="C847" t="s">
        <v>1605</v>
      </c>
      <c r="D847" s="1">
        <v>46243</v>
      </c>
      <c r="E847">
        <v>54144.53</v>
      </c>
      <c r="F847" t="s">
        <v>16</v>
      </c>
    </row>
    <row r="848" spans="1:6">
      <c r="A848" t="s">
        <v>1337</v>
      </c>
      <c r="B848" t="s">
        <v>1606</v>
      </c>
      <c r="C848" t="s">
        <v>1607</v>
      </c>
      <c r="D848" s="1">
        <v>46243</v>
      </c>
      <c r="E848">
        <v>29495.040000000001</v>
      </c>
      <c r="F848" t="s">
        <v>26</v>
      </c>
    </row>
    <row r="849" spans="1:6">
      <c r="A849" t="s">
        <v>1337</v>
      </c>
      <c r="B849" t="s">
        <v>1608</v>
      </c>
      <c r="C849" t="s">
        <v>1609</v>
      </c>
      <c r="D849" s="1">
        <v>46243</v>
      </c>
      <c r="E849">
        <v>55085.59</v>
      </c>
      <c r="F849" t="s">
        <v>9</v>
      </c>
    </row>
    <row r="850" spans="1:6">
      <c r="A850" t="s">
        <v>1337</v>
      </c>
      <c r="B850" t="s">
        <v>1610</v>
      </c>
      <c r="C850" t="s">
        <v>1611</v>
      </c>
      <c r="D850" s="1">
        <v>46243</v>
      </c>
      <c r="E850">
        <v>11105.66</v>
      </c>
      <c r="F850" t="s">
        <v>9</v>
      </c>
    </row>
    <row r="851" spans="1:6">
      <c r="A851" t="s">
        <v>1337</v>
      </c>
      <c r="B851" t="s">
        <v>1612</v>
      </c>
      <c r="C851" t="s">
        <v>1359</v>
      </c>
      <c r="D851" s="1">
        <v>46243</v>
      </c>
      <c r="E851">
        <v>214258.17</v>
      </c>
      <c r="F851" t="s">
        <v>16</v>
      </c>
    </row>
    <row r="852" spans="1:6">
      <c r="A852" t="s">
        <v>1337</v>
      </c>
      <c r="B852" t="s">
        <v>1613</v>
      </c>
      <c r="C852" t="s">
        <v>1614</v>
      </c>
      <c r="D852" s="1">
        <v>46243</v>
      </c>
      <c r="E852">
        <v>12982.71</v>
      </c>
      <c r="F852" t="s">
        <v>26</v>
      </c>
    </row>
    <row r="853" spans="1:6">
      <c r="A853" t="s">
        <v>1337</v>
      </c>
      <c r="B853" t="s">
        <v>1615</v>
      </c>
      <c r="C853" t="s">
        <v>1616</v>
      </c>
      <c r="D853" s="1">
        <v>46243</v>
      </c>
      <c r="E853">
        <v>197325.54</v>
      </c>
      <c r="F853" t="s">
        <v>9</v>
      </c>
    </row>
    <row r="854" spans="1:6">
      <c r="A854" t="s">
        <v>1337</v>
      </c>
      <c r="B854" t="s">
        <v>1617</v>
      </c>
      <c r="C854" t="s">
        <v>1618</v>
      </c>
      <c r="D854" s="1">
        <v>46243</v>
      </c>
      <c r="E854">
        <v>51729.1</v>
      </c>
      <c r="F854" t="s">
        <v>16</v>
      </c>
    </row>
    <row r="855" spans="1:6">
      <c r="A855" t="s">
        <v>1337</v>
      </c>
      <c r="B855" t="s">
        <v>1619</v>
      </c>
      <c r="C855" t="s">
        <v>1620</v>
      </c>
      <c r="D855" s="1">
        <v>46244</v>
      </c>
      <c r="E855">
        <v>266446.57</v>
      </c>
      <c r="F855" t="s">
        <v>9</v>
      </c>
    </row>
    <row r="856" spans="1:6">
      <c r="A856" t="s">
        <v>1337</v>
      </c>
      <c r="B856" t="s">
        <v>1621</v>
      </c>
      <c r="C856" t="s">
        <v>1622</v>
      </c>
      <c r="D856" s="1">
        <v>46244</v>
      </c>
      <c r="E856">
        <v>476117.4</v>
      </c>
      <c r="F856" t="s">
        <v>16</v>
      </c>
    </row>
    <row r="857" spans="1:6">
      <c r="A857" t="s">
        <v>1337</v>
      </c>
      <c r="B857" t="s">
        <v>1623</v>
      </c>
      <c r="C857" t="s">
        <v>1624</v>
      </c>
      <c r="D857" s="1">
        <v>46244</v>
      </c>
      <c r="E857">
        <v>6698.41</v>
      </c>
      <c r="F857" t="s">
        <v>16</v>
      </c>
    </row>
    <row r="858" spans="1:6">
      <c r="A858" t="s">
        <v>1337</v>
      </c>
      <c r="B858" t="s">
        <v>1625</v>
      </c>
      <c r="C858" t="s">
        <v>1626</v>
      </c>
      <c r="D858" s="1">
        <v>46244</v>
      </c>
      <c r="E858">
        <v>199407.75</v>
      </c>
      <c r="F858" t="s">
        <v>16</v>
      </c>
    </row>
    <row r="859" spans="1:6">
      <c r="A859" t="s">
        <v>1337</v>
      </c>
      <c r="B859" t="s">
        <v>1627</v>
      </c>
      <c r="C859" t="s">
        <v>1628</v>
      </c>
      <c r="D859" s="1">
        <v>46244</v>
      </c>
      <c r="E859">
        <v>81178.97</v>
      </c>
      <c r="F859" t="s">
        <v>9</v>
      </c>
    </row>
    <row r="860" spans="1:6">
      <c r="A860" t="s">
        <v>1337</v>
      </c>
      <c r="B860" t="s">
        <v>1629</v>
      </c>
      <c r="C860" t="s">
        <v>1630</v>
      </c>
      <c r="D860" s="1">
        <v>46244</v>
      </c>
      <c r="E860">
        <v>79967.570000000007</v>
      </c>
      <c r="F860" t="s">
        <v>9</v>
      </c>
    </row>
    <row r="861" spans="1:6">
      <c r="A861" t="s">
        <v>1337</v>
      </c>
      <c r="B861" t="s">
        <v>1631</v>
      </c>
      <c r="C861" t="s">
        <v>1632</v>
      </c>
      <c r="D861" s="1">
        <v>46244</v>
      </c>
      <c r="E861">
        <v>221914.34</v>
      </c>
      <c r="F861" t="s">
        <v>9</v>
      </c>
    </row>
    <row r="862" spans="1:6">
      <c r="A862" t="s">
        <v>1337</v>
      </c>
      <c r="B862" t="s">
        <v>1633</v>
      </c>
      <c r="C862" t="s">
        <v>1634</v>
      </c>
      <c r="D862" s="1">
        <v>46244</v>
      </c>
      <c r="E862">
        <v>127091.68</v>
      </c>
      <c r="F862" t="s">
        <v>9</v>
      </c>
    </row>
    <row r="863" spans="1:6">
      <c r="A863" t="s">
        <v>1337</v>
      </c>
      <c r="B863" t="s">
        <v>1635</v>
      </c>
      <c r="C863" t="s">
        <v>1636</v>
      </c>
      <c r="D863" s="1">
        <v>46244</v>
      </c>
      <c r="E863">
        <v>317103.77</v>
      </c>
      <c r="F863" t="s">
        <v>9</v>
      </c>
    </row>
    <row r="864" spans="1:6">
      <c r="A864" t="s">
        <v>1337</v>
      </c>
      <c r="B864" t="s">
        <v>1637</v>
      </c>
      <c r="C864" t="s">
        <v>1205</v>
      </c>
      <c r="D864" s="1">
        <v>46244</v>
      </c>
      <c r="E864">
        <v>14078.47</v>
      </c>
      <c r="F864" t="s">
        <v>9</v>
      </c>
    </row>
    <row r="865" spans="1:6">
      <c r="A865" t="s">
        <v>1337</v>
      </c>
      <c r="B865" t="s">
        <v>1638</v>
      </c>
      <c r="C865" t="s">
        <v>1639</v>
      </c>
      <c r="D865" s="1">
        <v>46244</v>
      </c>
      <c r="E865">
        <v>34790.080000000002</v>
      </c>
      <c r="F865" t="s">
        <v>9</v>
      </c>
    </row>
    <row r="866" spans="1:6">
      <c r="A866" t="s">
        <v>1337</v>
      </c>
      <c r="B866" t="s">
        <v>1640</v>
      </c>
      <c r="C866" t="s">
        <v>1538</v>
      </c>
      <c r="D866" s="1">
        <v>46244</v>
      </c>
      <c r="E866">
        <v>12688.45</v>
      </c>
      <c r="F866" t="s">
        <v>9</v>
      </c>
    </row>
    <row r="867" spans="1:6">
      <c r="A867" t="s">
        <v>1337</v>
      </c>
      <c r="B867" t="s">
        <v>1641</v>
      </c>
      <c r="C867" t="s">
        <v>1642</v>
      </c>
      <c r="D867" s="1">
        <v>46244</v>
      </c>
      <c r="E867">
        <v>152509.17000000001</v>
      </c>
      <c r="F867" t="s">
        <v>16</v>
      </c>
    </row>
    <row r="868" spans="1:6">
      <c r="A868" t="s">
        <v>1337</v>
      </c>
      <c r="B868" t="s">
        <v>1643</v>
      </c>
      <c r="C868" t="s">
        <v>1644</v>
      </c>
      <c r="D868" s="1">
        <v>46244</v>
      </c>
      <c r="E868">
        <v>15630.89</v>
      </c>
      <c r="F868" t="s">
        <v>26</v>
      </c>
    </row>
    <row r="869" spans="1:6">
      <c r="A869" t="s">
        <v>1337</v>
      </c>
      <c r="B869" t="s">
        <v>1645</v>
      </c>
      <c r="C869" t="s">
        <v>1507</v>
      </c>
      <c r="D869" s="1">
        <v>46244</v>
      </c>
      <c r="E869">
        <v>942760.79</v>
      </c>
      <c r="F869" t="s">
        <v>9</v>
      </c>
    </row>
    <row r="870" spans="1:6">
      <c r="A870" t="s">
        <v>1337</v>
      </c>
      <c r="B870" t="s">
        <v>1646</v>
      </c>
      <c r="C870" t="s">
        <v>1647</v>
      </c>
      <c r="D870" s="1">
        <v>46244</v>
      </c>
      <c r="E870">
        <v>150307.07999999999</v>
      </c>
      <c r="F870" t="s">
        <v>26</v>
      </c>
    </row>
    <row r="871" spans="1:6">
      <c r="A871" t="s">
        <v>1337</v>
      </c>
      <c r="B871" t="s">
        <v>1648</v>
      </c>
      <c r="C871" t="s">
        <v>1649</v>
      </c>
      <c r="D871" s="1">
        <v>46244</v>
      </c>
      <c r="E871">
        <v>19892.78</v>
      </c>
      <c r="F871" t="s">
        <v>9</v>
      </c>
    </row>
    <row r="872" spans="1:6">
      <c r="A872" t="s">
        <v>1337</v>
      </c>
      <c r="B872" t="s">
        <v>1650</v>
      </c>
      <c r="C872" t="s">
        <v>1651</v>
      </c>
      <c r="D872" s="1">
        <v>46244</v>
      </c>
      <c r="E872">
        <v>278642.96000000002</v>
      </c>
      <c r="F872" t="s">
        <v>16</v>
      </c>
    </row>
    <row r="873" spans="1:6">
      <c r="A873" t="s">
        <v>1337</v>
      </c>
      <c r="B873" t="s">
        <v>1652</v>
      </c>
      <c r="C873" t="s">
        <v>1651</v>
      </c>
      <c r="D873" s="1">
        <v>46244</v>
      </c>
      <c r="E873">
        <v>401677.02</v>
      </c>
      <c r="F873" t="s">
        <v>9</v>
      </c>
    </row>
    <row r="874" spans="1:6">
      <c r="A874" t="s">
        <v>1337</v>
      </c>
      <c r="B874" t="s">
        <v>1653</v>
      </c>
      <c r="C874" t="s">
        <v>1654</v>
      </c>
      <c r="D874" s="1">
        <v>46244</v>
      </c>
      <c r="E874">
        <v>88531.06</v>
      </c>
      <c r="F874" t="s">
        <v>9</v>
      </c>
    </row>
    <row r="875" spans="1:6">
      <c r="A875" t="s">
        <v>1337</v>
      </c>
      <c r="B875" t="s">
        <v>1655</v>
      </c>
      <c r="C875" t="s">
        <v>592</v>
      </c>
      <c r="D875" s="1">
        <v>46245</v>
      </c>
      <c r="E875">
        <v>6088.5</v>
      </c>
      <c r="F875" t="s">
        <v>9</v>
      </c>
    </row>
    <row r="876" spans="1:6">
      <c r="A876" t="s">
        <v>1337</v>
      </c>
      <c r="B876" t="s">
        <v>1656</v>
      </c>
      <c r="C876" t="s">
        <v>1657</v>
      </c>
      <c r="D876" s="1">
        <v>46245</v>
      </c>
      <c r="E876">
        <v>23169.98</v>
      </c>
      <c r="F876" t="s">
        <v>9</v>
      </c>
    </row>
    <row r="877" spans="1:6">
      <c r="A877" t="s">
        <v>1337</v>
      </c>
      <c r="B877" t="s">
        <v>1658</v>
      </c>
      <c r="C877" t="s">
        <v>1659</v>
      </c>
      <c r="D877" s="1">
        <v>46245</v>
      </c>
      <c r="E877">
        <v>480352.52</v>
      </c>
      <c r="F877" t="s">
        <v>16</v>
      </c>
    </row>
    <row r="878" spans="1:6">
      <c r="A878" t="s">
        <v>1337</v>
      </c>
      <c r="B878" t="s">
        <v>1660</v>
      </c>
      <c r="C878" t="s">
        <v>1661</v>
      </c>
      <c r="D878" s="1">
        <v>46245</v>
      </c>
      <c r="E878">
        <v>203671.71</v>
      </c>
      <c r="F878" t="s">
        <v>9</v>
      </c>
    </row>
    <row r="879" spans="1:6">
      <c r="A879" t="s">
        <v>1337</v>
      </c>
      <c r="B879" t="s">
        <v>1662</v>
      </c>
      <c r="C879" t="s">
        <v>1663</v>
      </c>
      <c r="D879" s="1">
        <v>46245</v>
      </c>
      <c r="E879">
        <v>193458.08</v>
      </c>
      <c r="F879" t="s">
        <v>9</v>
      </c>
    </row>
    <row r="880" spans="1:6">
      <c r="A880" t="s">
        <v>1337</v>
      </c>
      <c r="B880" t="s">
        <v>1664</v>
      </c>
      <c r="C880" t="s">
        <v>1665</v>
      </c>
      <c r="D880" s="1">
        <v>46245</v>
      </c>
      <c r="E880">
        <v>73208.78</v>
      </c>
      <c r="F880" t="s">
        <v>9</v>
      </c>
    </row>
    <row r="881" spans="1:6">
      <c r="A881" t="s">
        <v>1337</v>
      </c>
      <c r="B881" t="s">
        <v>1666</v>
      </c>
      <c r="C881" t="s">
        <v>1667</v>
      </c>
      <c r="D881" s="1">
        <v>46245</v>
      </c>
      <c r="E881">
        <v>317848.73</v>
      </c>
      <c r="F881" t="s">
        <v>9</v>
      </c>
    </row>
    <row r="882" spans="1:6">
      <c r="A882" t="s">
        <v>1337</v>
      </c>
      <c r="B882" t="s">
        <v>1668</v>
      </c>
      <c r="C882" t="s">
        <v>1172</v>
      </c>
      <c r="D882" s="1">
        <v>46245</v>
      </c>
      <c r="E882">
        <v>65429.97</v>
      </c>
      <c r="F882" t="s">
        <v>16</v>
      </c>
    </row>
    <row r="883" spans="1:6">
      <c r="A883" t="s">
        <v>1337</v>
      </c>
      <c r="B883" t="s">
        <v>1669</v>
      </c>
      <c r="C883" t="s">
        <v>1670</v>
      </c>
      <c r="D883" s="1">
        <v>46245</v>
      </c>
      <c r="E883">
        <v>25270.7</v>
      </c>
      <c r="F883" t="s">
        <v>9</v>
      </c>
    </row>
    <row r="884" spans="1:6">
      <c r="A884" t="s">
        <v>1337</v>
      </c>
      <c r="B884" t="s">
        <v>1671</v>
      </c>
      <c r="C884" t="s">
        <v>1672</v>
      </c>
      <c r="D884" s="1">
        <v>46245</v>
      </c>
      <c r="E884">
        <v>20615.349999999999</v>
      </c>
      <c r="F884" t="s">
        <v>16</v>
      </c>
    </row>
    <row r="885" spans="1:6">
      <c r="A885" t="s">
        <v>1337</v>
      </c>
      <c r="B885" t="s">
        <v>1673</v>
      </c>
      <c r="C885" t="s">
        <v>1674</v>
      </c>
      <c r="D885" s="1">
        <v>46245</v>
      </c>
      <c r="E885">
        <v>84216.83</v>
      </c>
      <c r="F885" t="s">
        <v>26</v>
      </c>
    </row>
    <row r="886" spans="1:6">
      <c r="A886" t="s">
        <v>1337</v>
      </c>
      <c r="B886" t="s">
        <v>1675</v>
      </c>
      <c r="C886" t="s">
        <v>1676</v>
      </c>
      <c r="D886" s="1">
        <v>46245</v>
      </c>
      <c r="E886">
        <v>66454.490000000005</v>
      </c>
      <c r="F886" t="s">
        <v>16</v>
      </c>
    </row>
    <row r="887" spans="1:6">
      <c r="A887" t="s">
        <v>1337</v>
      </c>
      <c r="B887" t="s">
        <v>1677</v>
      </c>
      <c r="C887" t="s">
        <v>1678</v>
      </c>
      <c r="D887" s="1">
        <v>46245</v>
      </c>
      <c r="E887">
        <v>992008.59</v>
      </c>
      <c r="F887" t="s">
        <v>26</v>
      </c>
    </row>
    <row r="888" spans="1:6">
      <c r="A888" t="s">
        <v>1337</v>
      </c>
      <c r="B888" t="s">
        <v>1679</v>
      </c>
      <c r="C888" t="s">
        <v>1680</v>
      </c>
      <c r="D888" s="1">
        <v>46245</v>
      </c>
      <c r="E888">
        <v>5892.73</v>
      </c>
      <c r="F888" t="s">
        <v>16</v>
      </c>
    </row>
    <row r="889" spans="1:6">
      <c r="A889" t="s">
        <v>1337</v>
      </c>
      <c r="B889" t="s">
        <v>1681</v>
      </c>
      <c r="C889" t="s">
        <v>1682</v>
      </c>
      <c r="D889" s="1">
        <v>46245</v>
      </c>
      <c r="E889">
        <v>26786.42</v>
      </c>
      <c r="F889" t="s">
        <v>26</v>
      </c>
    </row>
    <row r="890" spans="1:6">
      <c r="A890" t="s">
        <v>1337</v>
      </c>
      <c r="B890" t="s">
        <v>1683</v>
      </c>
      <c r="C890" t="s">
        <v>1684</v>
      </c>
      <c r="D890" s="1">
        <v>46245</v>
      </c>
      <c r="E890">
        <v>24028.15</v>
      </c>
      <c r="F890" t="s">
        <v>9</v>
      </c>
    </row>
    <row r="891" spans="1:6">
      <c r="A891" t="s">
        <v>1337</v>
      </c>
      <c r="B891" t="s">
        <v>1685</v>
      </c>
      <c r="C891" t="s">
        <v>1686</v>
      </c>
      <c r="D891" s="1">
        <v>46245</v>
      </c>
      <c r="E891">
        <v>12925.29</v>
      </c>
      <c r="F891" t="s">
        <v>16</v>
      </c>
    </row>
    <row r="892" spans="1:6">
      <c r="A892" t="s">
        <v>1337</v>
      </c>
      <c r="B892" t="s">
        <v>1687</v>
      </c>
      <c r="C892" t="s">
        <v>1688</v>
      </c>
      <c r="D892" s="1">
        <v>46245</v>
      </c>
      <c r="E892">
        <v>5000</v>
      </c>
      <c r="F892" t="s">
        <v>16</v>
      </c>
    </row>
    <row r="893" spans="1:6">
      <c r="A893" t="s">
        <v>1337</v>
      </c>
      <c r="B893" t="s">
        <v>1689</v>
      </c>
      <c r="C893" t="s">
        <v>1690</v>
      </c>
      <c r="D893" s="1">
        <v>46245</v>
      </c>
      <c r="E893">
        <v>32383.3</v>
      </c>
      <c r="F893" t="s">
        <v>9</v>
      </c>
    </row>
    <row r="894" spans="1:6">
      <c r="A894" t="s">
        <v>1337</v>
      </c>
      <c r="B894" t="s">
        <v>1691</v>
      </c>
      <c r="C894" t="s">
        <v>1692</v>
      </c>
      <c r="D894" s="1">
        <v>46246</v>
      </c>
      <c r="E894">
        <v>130759.8</v>
      </c>
      <c r="F894" t="s">
        <v>9</v>
      </c>
    </row>
    <row r="895" spans="1:6">
      <c r="A895" t="s">
        <v>1337</v>
      </c>
      <c r="B895" t="s">
        <v>1693</v>
      </c>
      <c r="C895" t="s">
        <v>856</v>
      </c>
      <c r="D895" s="1">
        <v>46246</v>
      </c>
      <c r="E895">
        <v>147081.15</v>
      </c>
      <c r="F895" t="s">
        <v>9</v>
      </c>
    </row>
    <row r="896" spans="1:6">
      <c r="A896" t="s">
        <v>1337</v>
      </c>
      <c r="B896" t="s">
        <v>1694</v>
      </c>
      <c r="C896" t="s">
        <v>1695</v>
      </c>
      <c r="D896" s="1">
        <v>46246</v>
      </c>
      <c r="E896">
        <v>33227.53</v>
      </c>
      <c r="F896" t="s">
        <v>16</v>
      </c>
    </row>
    <row r="897" spans="1:6">
      <c r="A897" t="s">
        <v>1337</v>
      </c>
      <c r="B897" t="s">
        <v>1696</v>
      </c>
      <c r="C897" t="s">
        <v>1697</v>
      </c>
      <c r="D897" s="1">
        <v>46246</v>
      </c>
      <c r="E897">
        <v>433315.51</v>
      </c>
      <c r="F897" t="s">
        <v>26</v>
      </c>
    </row>
    <row r="898" spans="1:6">
      <c r="A898" t="s">
        <v>1337</v>
      </c>
      <c r="B898" t="s">
        <v>1698</v>
      </c>
      <c r="C898" t="s">
        <v>1699</v>
      </c>
      <c r="D898" s="1">
        <v>46246</v>
      </c>
      <c r="E898">
        <v>353607.79</v>
      </c>
      <c r="F898" t="s">
        <v>9</v>
      </c>
    </row>
    <row r="899" spans="1:6">
      <c r="A899" t="s">
        <v>1337</v>
      </c>
      <c r="B899" t="s">
        <v>1700</v>
      </c>
      <c r="C899" t="s">
        <v>1132</v>
      </c>
      <c r="D899" s="1">
        <v>46246</v>
      </c>
      <c r="E899">
        <v>228421.37</v>
      </c>
      <c r="F899" t="s">
        <v>16</v>
      </c>
    </row>
    <row r="900" spans="1:6">
      <c r="A900" t="s">
        <v>1337</v>
      </c>
      <c r="B900" t="s">
        <v>1701</v>
      </c>
      <c r="C900" t="s">
        <v>1702</v>
      </c>
      <c r="D900" s="1">
        <v>46246</v>
      </c>
      <c r="E900">
        <v>168643.33</v>
      </c>
      <c r="F900" t="s">
        <v>26</v>
      </c>
    </row>
    <row r="901" spans="1:6">
      <c r="A901" t="s">
        <v>1337</v>
      </c>
      <c r="B901" t="s">
        <v>1703</v>
      </c>
      <c r="C901" t="s">
        <v>1704</v>
      </c>
      <c r="D901" s="1">
        <v>46246</v>
      </c>
      <c r="E901">
        <v>78556.23</v>
      </c>
      <c r="F901" t="s">
        <v>9</v>
      </c>
    </row>
    <row r="902" spans="1:6">
      <c r="A902" t="s">
        <v>1337</v>
      </c>
      <c r="B902" t="s">
        <v>1705</v>
      </c>
      <c r="C902" t="s">
        <v>1706</v>
      </c>
      <c r="D902" s="1">
        <v>46246</v>
      </c>
      <c r="E902">
        <v>11232.66</v>
      </c>
      <c r="F902" t="s">
        <v>16</v>
      </c>
    </row>
    <row r="903" spans="1:6">
      <c r="A903" t="s">
        <v>1337</v>
      </c>
      <c r="B903" t="s">
        <v>1707</v>
      </c>
      <c r="C903" t="s">
        <v>1708</v>
      </c>
      <c r="D903" s="1">
        <v>46246</v>
      </c>
      <c r="E903">
        <v>63528.95</v>
      </c>
      <c r="F903" t="s">
        <v>16</v>
      </c>
    </row>
    <row r="904" spans="1:6">
      <c r="A904" t="s">
        <v>1337</v>
      </c>
      <c r="B904" t="s">
        <v>1709</v>
      </c>
      <c r="C904" t="s">
        <v>1710</v>
      </c>
      <c r="D904" s="1">
        <v>46246</v>
      </c>
      <c r="E904">
        <v>92653.52</v>
      </c>
      <c r="F904" t="s">
        <v>9</v>
      </c>
    </row>
    <row r="905" spans="1:6">
      <c r="A905" t="s">
        <v>1337</v>
      </c>
      <c r="B905" t="s">
        <v>1711</v>
      </c>
      <c r="C905" t="s">
        <v>1712</v>
      </c>
      <c r="D905" s="1">
        <v>46246</v>
      </c>
      <c r="E905">
        <v>20115.77</v>
      </c>
      <c r="F905" t="s">
        <v>26</v>
      </c>
    </row>
    <row r="906" spans="1:6">
      <c r="A906" t="s">
        <v>1337</v>
      </c>
      <c r="B906" t="s">
        <v>1713</v>
      </c>
      <c r="C906" t="s">
        <v>1714</v>
      </c>
      <c r="D906" s="1">
        <v>46246</v>
      </c>
      <c r="E906">
        <v>77065.45</v>
      </c>
      <c r="F906" t="s">
        <v>9</v>
      </c>
    </row>
    <row r="907" spans="1:6">
      <c r="A907" t="s">
        <v>1337</v>
      </c>
      <c r="B907" t="s">
        <v>1715</v>
      </c>
      <c r="C907" t="s">
        <v>1716</v>
      </c>
      <c r="D907" s="1">
        <v>46246</v>
      </c>
      <c r="E907">
        <v>308449.14</v>
      </c>
      <c r="F907" t="s">
        <v>26</v>
      </c>
    </row>
    <row r="908" spans="1:6">
      <c r="A908" t="s">
        <v>1337</v>
      </c>
      <c r="B908" t="s">
        <v>1717</v>
      </c>
      <c r="C908" t="s">
        <v>1718</v>
      </c>
      <c r="D908" s="1">
        <v>46246</v>
      </c>
      <c r="E908">
        <v>63959.56</v>
      </c>
      <c r="F908" t="s">
        <v>9</v>
      </c>
    </row>
    <row r="909" spans="1:6">
      <c r="A909" t="s">
        <v>1337</v>
      </c>
      <c r="B909" t="s">
        <v>1719</v>
      </c>
      <c r="C909" t="s">
        <v>1720</v>
      </c>
      <c r="D909" s="1">
        <v>46246</v>
      </c>
      <c r="E909">
        <v>519300.72</v>
      </c>
      <c r="F909" t="s">
        <v>16</v>
      </c>
    </row>
    <row r="910" spans="1:6">
      <c r="A910" t="s">
        <v>1337</v>
      </c>
      <c r="B910" t="s">
        <v>1721</v>
      </c>
      <c r="C910" t="s">
        <v>1722</v>
      </c>
      <c r="D910" s="1">
        <v>46246</v>
      </c>
      <c r="E910">
        <v>202374.07</v>
      </c>
      <c r="F910" t="s">
        <v>9</v>
      </c>
    </row>
    <row r="911" spans="1:6">
      <c r="A911" t="s">
        <v>1337</v>
      </c>
      <c r="B911" t="s">
        <v>1723</v>
      </c>
      <c r="C911" t="s">
        <v>1724</v>
      </c>
      <c r="D911" s="1">
        <v>46246</v>
      </c>
      <c r="E911">
        <v>24657.3</v>
      </c>
      <c r="F911" t="s">
        <v>9</v>
      </c>
    </row>
    <row r="912" spans="1:6">
      <c r="A912" t="s">
        <v>1337</v>
      </c>
      <c r="B912" t="s">
        <v>1725</v>
      </c>
      <c r="C912" t="s">
        <v>1726</v>
      </c>
      <c r="D912" s="1">
        <v>46246</v>
      </c>
      <c r="E912">
        <v>9797.7199999999993</v>
      </c>
      <c r="F912" t="s">
        <v>26</v>
      </c>
    </row>
    <row r="913" spans="1:6">
      <c r="A913" t="s">
        <v>1337</v>
      </c>
      <c r="B913" t="s">
        <v>1727</v>
      </c>
      <c r="C913" t="s">
        <v>1728</v>
      </c>
      <c r="D913" s="1">
        <v>46246</v>
      </c>
      <c r="E913">
        <v>4055.39</v>
      </c>
      <c r="F913" t="s">
        <v>9</v>
      </c>
    </row>
    <row r="914" spans="1:6">
      <c r="A914" t="s">
        <v>1337</v>
      </c>
      <c r="B914" t="s">
        <v>1729</v>
      </c>
      <c r="C914" t="s">
        <v>161</v>
      </c>
      <c r="D914" s="1">
        <v>46247</v>
      </c>
      <c r="E914">
        <v>129232.82</v>
      </c>
      <c r="F914" t="s">
        <v>9</v>
      </c>
    </row>
    <row r="915" spans="1:6">
      <c r="A915" t="s">
        <v>1337</v>
      </c>
      <c r="B915" t="s">
        <v>1730</v>
      </c>
      <c r="C915" t="s">
        <v>1731</v>
      </c>
      <c r="D915" s="1">
        <v>46247</v>
      </c>
      <c r="E915">
        <v>650061.49</v>
      </c>
      <c r="F915" t="s">
        <v>9</v>
      </c>
    </row>
    <row r="916" spans="1:6">
      <c r="A916" t="s">
        <v>1337</v>
      </c>
      <c r="B916" t="s">
        <v>1732</v>
      </c>
      <c r="C916" t="s">
        <v>1733</v>
      </c>
      <c r="D916" s="1">
        <v>46247</v>
      </c>
      <c r="E916">
        <v>153163.4</v>
      </c>
      <c r="F916" t="s">
        <v>9</v>
      </c>
    </row>
    <row r="917" spans="1:6">
      <c r="A917" t="s">
        <v>1337</v>
      </c>
      <c r="B917" t="s">
        <v>1734</v>
      </c>
      <c r="C917" t="s">
        <v>1735</v>
      </c>
      <c r="D917" s="1">
        <v>46247</v>
      </c>
      <c r="E917">
        <v>567559.63</v>
      </c>
      <c r="F917" t="s">
        <v>26</v>
      </c>
    </row>
    <row r="918" spans="1:6">
      <c r="A918" t="s">
        <v>1337</v>
      </c>
      <c r="B918" t="s">
        <v>1736</v>
      </c>
      <c r="C918" t="s">
        <v>624</v>
      </c>
      <c r="D918" s="1">
        <v>46247</v>
      </c>
      <c r="E918">
        <v>12144.94</v>
      </c>
      <c r="F918" t="s">
        <v>9</v>
      </c>
    </row>
    <row r="919" spans="1:6">
      <c r="A919" t="s">
        <v>1337</v>
      </c>
      <c r="B919" t="s">
        <v>1737</v>
      </c>
      <c r="C919" t="s">
        <v>1738</v>
      </c>
      <c r="D919" s="1">
        <v>46247</v>
      </c>
      <c r="E919">
        <v>89886.41</v>
      </c>
      <c r="F919" t="s">
        <v>26</v>
      </c>
    </row>
    <row r="920" spans="1:6">
      <c r="A920" t="s">
        <v>1337</v>
      </c>
      <c r="B920" t="s">
        <v>1739</v>
      </c>
      <c r="C920" t="s">
        <v>1740</v>
      </c>
      <c r="D920" s="1">
        <v>46247</v>
      </c>
      <c r="E920">
        <v>32905.199999999997</v>
      </c>
      <c r="F920" t="s">
        <v>9</v>
      </c>
    </row>
    <row r="921" spans="1:6">
      <c r="A921" t="s">
        <v>1337</v>
      </c>
      <c r="B921" t="s">
        <v>1741</v>
      </c>
      <c r="C921" t="s">
        <v>1742</v>
      </c>
      <c r="D921" s="1">
        <v>46247</v>
      </c>
      <c r="E921">
        <v>266247.48</v>
      </c>
      <c r="F921" t="s">
        <v>16</v>
      </c>
    </row>
    <row r="922" spans="1:6">
      <c r="A922" t="s">
        <v>1337</v>
      </c>
      <c r="B922" t="s">
        <v>1743</v>
      </c>
      <c r="C922" t="s">
        <v>1592</v>
      </c>
      <c r="D922" s="1">
        <v>46247</v>
      </c>
      <c r="E922">
        <v>4690.4399999999996</v>
      </c>
      <c r="F922" t="s">
        <v>26</v>
      </c>
    </row>
    <row r="923" spans="1:6">
      <c r="A923" t="s">
        <v>1337</v>
      </c>
      <c r="B923" t="s">
        <v>1744</v>
      </c>
      <c r="C923" t="s">
        <v>1745</v>
      </c>
      <c r="D923" s="1">
        <v>46247</v>
      </c>
      <c r="E923">
        <v>125415.11</v>
      </c>
      <c r="F923" t="s">
        <v>9</v>
      </c>
    </row>
    <row r="924" spans="1:6">
      <c r="A924" t="s">
        <v>1337</v>
      </c>
      <c r="B924" t="s">
        <v>1746</v>
      </c>
      <c r="C924" t="s">
        <v>1747</v>
      </c>
      <c r="D924" s="1">
        <v>46247</v>
      </c>
      <c r="E924">
        <v>26165.88</v>
      </c>
      <c r="F924" t="s">
        <v>9</v>
      </c>
    </row>
    <row r="925" spans="1:6">
      <c r="A925" t="s">
        <v>1337</v>
      </c>
      <c r="B925" t="s">
        <v>1748</v>
      </c>
      <c r="C925" t="s">
        <v>1065</v>
      </c>
      <c r="D925" s="1">
        <v>46247</v>
      </c>
      <c r="E925">
        <v>148452.38</v>
      </c>
      <c r="F925" t="s">
        <v>9</v>
      </c>
    </row>
    <row r="926" spans="1:6">
      <c r="A926" t="s">
        <v>1337</v>
      </c>
      <c r="B926" t="s">
        <v>1749</v>
      </c>
      <c r="C926" t="s">
        <v>1750</v>
      </c>
      <c r="D926" s="1">
        <v>46247</v>
      </c>
      <c r="E926">
        <v>14025.11</v>
      </c>
      <c r="F926" t="s">
        <v>26</v>
      </c>
    </row>
    <row r="927" spans="1:6">
      <c r="A927" t="s">
        <v>1337</v>
      </c>
      <c r="B927" t="s">
        <v>1751</v>
      </c>
      <c r="C927" t="s">
        <v>1752</v>
      </c>
      <c r="D927" s="1">
        <v>46247</v>
      </c>
      <c r="E927">
        <v>479557.36</v>
      </c>
      <c r="F927" t="s">
        <v>9</v>
      </c>
    </row>
    <row r="928" spans="1:6">
      <c r="A928" t="s">
        <v>1337</v>
      </c>
      <c r="B928" t="s">
        <v>1753</v>
      </c>
      <c r="C928" t="s">
        <v>1754</v>
      </c>
      <c r="D928" s="1">
        <v>46247</v>
      </c>
      <c r="E928">
        <v>9798.68</v>
      </c>
      <c r="F928" t="s">
        <v>26</v>
      </c>
    </row>
    <row r="929" spans="1:6">
      <c r="A929" t="s">
        <v>1337</v>
      </c>
      <c r="B929" t="s">
        <v>1755</v>
      </c>
      <c r="C929" t="s">
        <v>1756</v>
      </c>
      <c r="D929" s="1">
        <v>46247</v>
      </c>
      <c r="E929">
        <v>71078.58</v>
      </c>
      <c r="F929" t="s">
        <v>26</v>
      </c>
    </row>
    <row r="930" spans="1:6">
      <c r="A930" t="s">
        <v>1337</v>
      </c>
      <c r="B930" t="s">
        <v>1757</v>
      </c>
      <c r="C930" t="s">
        <v>1758</v>
      </c>
      <c r="D930" s="1">
        <v>46247</v>
      </c>
      <c r="E930">
        <v>96981.37</v>
      </c>
      <c r="F930" t="s">
        <v>9</v>
      </c>
    </row>
    <row r="931" spans="1:6">
      <c r="A931" t="s">
        <v>1337</v>
      </c>
      <c r="B931" t="s">
        <v>1759</v>
      </c>
      <c r="C931" t="s">
        <v>1760</v>
      </c>
      <c r="D931" s="1">
        <v>46247</v>
      </c>
      <c r="E931">
        <v>471054.53</v>
      </c>
      <c r="F931" t="s">
        <v>9</v>
      </c>
    </row>
    <row r="932" spans="1:6">
      <c r="A932" t="s">
        <v>1337</v>
      </c>
      <c r="B932" t="s">
        <v>1761</v>
      </c>
      <c r="C932" t="s">
        <v>1762</v>
      </c>
      <c r="D932" s="1">
        <v>46247</v>
      </c>
      <c r="E932">
        <v>109212.15</v>
      </c>
      <c r="F932" t="s">
        <v>9</v>
      </c>
    </row>
    <row r="933" spans="1:6">
      <c r="A933" t="s">
        <v>1337</v>
      </c>
      <c r="B933" t="s">
        <v>1763</v>
      </c>
      <c r="C933" t="s">
        <v>1764</v>
      </c>
      <c r="D933" s="1">
        <v>46247</v>
      </c>
      <c r="E933">
        <v>60059.58</v>
      </c>
      <c r="F933" t="s">
        <v>9</v>
      </c>
    </row>
    <row r="934" spans="1:6">
      <c r="A934" t="s">
        <v>1337</v>
      </c>
      <c r="B934" t="s">
        <v>1765</v>
      </c>
      <c r="C934" t="s">
        <v>1766</v>
      </c>
      <c r="D934" s="1">
        <v>46247</v>
      </c>
      <c r="E934">
        <v>46609.01</v>
      </c>
      <c r="F934" t="s">
        <v>16</v>
      </c>
    </row>
    <row r="935" spans="1:6">
      <c r="A935" t="s">
        <v>1337</v>
      </c>
      <c r="B935" t="s">
        <v>1767</v>
      </c>
      <c r="C935" t="s">
        <v>1768</v>
      </c>
      <c r="D935" s="1">
        <v>46248</v>
      </c>
      <c r="E935">
        <v>250625.44</v>
      </c>
      <c r="F935" t="s">
        <v>26</v>
      </c>
    </row>
    <row r="936" spans="1:6">
      <c r="A936" t="s">
        <v>1337</v>
      </c>
      <c r="B936" t="s">
        <v>1769</v>
      </c>
      <c r="C936" t="s">
        <v>367</v>
      </c>
      <c r="D936" s="1">
        <v>46248</v>
      </c>
      <c r="E936">
        <v>272235.67</v>
      </c>
      <c r="F936" t="s">
        <v>9</v>
      </c>
    </row>
    <row r="937" spans="1:6">
      <c r="A937" t="s">
        <v>1337</v>
      </c>
      <c r="B937" t="s">
        <v>1770</v>
      </c>
      <c r="C937" t="s">
        <v>1771</v>
      </c>
      <c r="D937" s="1">
        <v>46248</v>
      </c>
      <c r="E937">
        <v>47476.37</v>
      </c>
      <c r="F937" t="s">
        <v>16</v>
      </c>
    </row>
    <row r="938" spans="1:6">
      <c r="A938" t="s">
        <v>1337</v>
      </c>
      <c r="B938" t="s">
        <v>1772</v>
      </c>
      <c r="C938" t="s">
        <v>1773</v>
      </c>
      <c r="D938" s="1">
        <v>46248</v>
      </c>
      <c r="E938">
        <v>140550.75</v>
      </c>
      <c r="F938" t="s">
        <v>9</v>
      </c>
    </row>
    <row r="939" spans="1:6">
      <c r="A939" t="s">
        <v>1337</v>
      </c>
      <c r="B939" t="s">
        <v>1774</v>
      </c>
      <c r="C939" t="s">
        <v>1404</v>
      </c>
      <c r="D939" s="1">
        <v>46248</v>
      </c>
      <c r="E939">
        <v>29467.77</v>
      </c>
      <c r="F939" t="s">
        <v>16</v>
      </c>
    </row>
    <row r="940" spans="1:6">
      <c r="A940" t="s">
        <v>1337</v>
      </c>
      <c r="B940" t="s">
        <v>1775</v>
      </c>
      <c r="C940" t="s">
        <v>1776</v>
      </c>
      <c r="D940" s="1">
        <v>46248</v>
      </c>
      <c r="E940">
        <v>42748.62</v>
      </c>
      <c r="F940" t="s">
        <v>16</v>
      </c>
    </row>
    <row r="941" spans="1:6">
      <c r="A941" t="s">
        <v>1337</v>
      </c>
      <c r="B941" t="s">
        <v>1777</v>
      </c>
      <c r="C941" t="s">
        <v>1778</v>
      </c>
      <c r="D941" s="1">
        <v>46248</v>
      </c>
      <c r="E941">
        <v>31410.04</v>
      </c>
      <c r="F941" t="s">
        <v>9</v>
      </c>
    </row>
    <row r="942" spans="1:6">
      <c r="A942" t="s">
        <v>1337</v>
      </c>
      <c r="B942" t="s">
        <v>1779</v>
      </c>
      <c r="C942" t="s">
        <v>1039</v>
      </c>
      <c r="D942" s="1">
        <v>46248</v>
      </c>
      <c r="E942">
        <v>34668.36</v>
      </c>
      <c r="F942" t="s">
        <v>9</v>
      </c>
    </row>
    <row r="943" spans="1:6">
      <c r="A943" t="s">
        <v>1337</v>
      </c>
      <c r="B943" t="s">
        <v>1780</v>
      </c>
      <c r="C943" t="s">
        <v>1781</v>
      </c>
      <c r="D943" s="1">
        <v>46248</v>
      </c>
      <c r="E943">
        <v>115067.5</v>
      </c>
      <c r="F943" t="s">
        <v>9</v>
      </c>
    </row>
    <row r="944" spans="1:6">
      <c r="A944" t="s">
        <v>1337</v>
      </c>
      <c r="B944" t="s">
        <v>1782</v>
      </c>
      <c r="C944" t="s">
        <v>1783</v>
      </c>
      <c r="D944" s="1">
        <v>46248</v>
      </c>
      <c r="E944">
        <v>53325.72</v>
      </c>
      <c r="F944" t="s">
        <v>26</v>
      </c>
    </row>
    <row r="945" spans="1:6">
      <c r="A945" t="s">
        <v>1337</v>
      </c>
      <c r="B945" t="s">
        <v>1784</v>
      </c>
      <c r="C945" t="s">
        <v>1785</v>
      </c>
      <c r="D945" s="1">
        <v>46248</v>
      </c>
      <c r="E945">
        <v>267285.98</v>
      </c>
      <c r="F945" t="s">
        <v>9</v>
      </c>
    </row>
    <row r="946" spans="1:6">
      <c r="A946" t="s">
        <v>1337</v>
      </c>
      <c r="B946" t="s">
        <v>1786</v>
      </c>
      <c r="C946" t="s">
        <v>1787</v>
      </c>
      <c r="D946" s="1">
        <v>46248</v>
      </c>
      <c r="E946">
        <v>16900.59</v>
      </c>
      <c r="F946" t="s">
        <v>9</v>
      </c>
    </row>
    <row r="947" spans="1:6">
      <c r="A947" t="s">
        <v>1337</v>
      </c>
      <c r="B947" t="s">
        <v>1788</v>
      </c>
      <c r="C947" t="s">
        <v>1789</v>
      </c>
      <c r="D947" s="1">
        <v>46248</v>
      </c>
      <c r="E947">
        <v>2404.3200000000002</v>
      </c>
      <c r="F947" t="s">
        <v>9</v>
      </c>
    </row>
    <row r="948" spans="1:6">
      <c r="A948" t="s">
        <v>1337</v>
      </c>
      <c r="B948" t="s">
        <v>1790</v>
      </c>
      <c r="C948" t="s">
        <v>1791</v>
      </c>
      <c r="D948" s="1">
        <v>46248</v>
      </c>
      <c r="E948">
        <v>33849.47</v>
      </c>
      <c r="F948" t="s">
        <v>9</v>
      </c>
    </row>
    <row r="949" spans="1:6">
      <c r="A949" t="s">
        <v>1337</v>
      </c>
      <c r="B949" t="s">
        <v>1792</v>
      </c>
      <c r="C949" t="s">
        <v>1793</v>
      </c>
      <c r="D949" s="1">
        <v>46248</v>
      </c>
      <c r="E949">
        <v>1193270.8500000001</v>
      </c>
      <c r="F949" t="s">
        <v>9</v>
      </c>
    </row>
    <row r="950" spans="1:6">
      <c r="A950" t="s">
        <v>1337</v>
      </c>
      <c r="B950" t="s">
        <v>1794</v>
      </c>
      <c r="C950" t="s">
        <v>1795</v>
      </c>
      <c r="D950" s="1">
        <v>46248</v>
      </c>
      <c r="E950">
        <v>35295.35</v>
      </c>
      <c r="F950" t="s">
        <v>16</v>
      </c>
    </row>
    <row r="951" spans="1:6">
      <c r="A951" t="s">
        <v>1337</v>
      </c>
      <c r="B951" t="s">
        <v>1796</v>
      </c>
      <c r="C951" t="s">
        <v>1797</v>
      </c>
      <c r="D951" s="1">
        <v>46248</v>
      </c>
      <c r="E951">
        <v>43444.37</v>
      </c>
      <c r="F951" t="s">
        <v>9</v>
      </c>
    </row>
    <row r="952" spans="1:6">
      <c r="A952" t="s">
        <v>1337</v>
      </c>
      <c r="B952" t="s">
        <v>1798</v>
      </c>
      <c r="C952" t="s">
        <v>1799</v>
      </c>
      <c r="D952" s="1">
        <v>46248</v>
      </c>
      <c r="E952">
        <v>117534.88</v>
      </c>
      <c r="F952" t="s">
        <v>26</v>
      </c>
    </row>
    <row r="953" spans="1:6">
      <c r="A953" t="s">
        <v>1337</v>
      </c>
      <c r="B953" t="s">
        <v>1800</v>
      </c>
      <c r="C953" t="s">
        <v>1801</v>
      </c>
      <c r="D953" s="1">
        <v>46248</v>
      </c>
      <c r="E953">
        <v>141369.46</v>
      </c>
      <c r="F953" t="s">
        <v>9</v>
      </c>
    </row>
    <row r="954" spans="1:6">
      <c r="A954" t="s">
        <v>1337</v>
      </c>
      <c r="B954" t="s">
        <v>1802</v>
      </c>
      <c r="C954" t="s">
        <v>1803</v>
      </c>
      <c r="D954" s="1">
        <v>46248</v>
      </c>
      <c r="E954">
        <v>145899.78</v>
      </c>
      <c r="F954" t="s">
        <v>26</v>
      </c>
    </row>
    <row r="955" spans="1:6">
      <c r="A955" t="s">
        <v>1337</v>
      </c>
      <c r="B955" t="s">
        <v>1804</v>
      </c>
      <c r="C955" t="s">
        <v>1805</v>
      </c>
      <c r="D955" s="1">
        <v>46248</v>
      </c>
      <c r="E955">
        <v>480016.84</v>
      </c>
      <c r="F955" t="s">
        <v>9</v>
      </c>
    </row>
    <row r="956" spans="1:6">
      <c r="A956" t="s">
        <v>1337</v>
      </c>
      <c r="B956" t="s">
        <v>1806</v>
      </c>
      <c r="C956" t="s">
        <v>1807</v>
      </c>
      <c r="D956" s="1">
        <v>46248</v>
      </c>
      <c r="E956">
        <v>201848.31</v>
      </c>
      <c r="F956" t="s">
        <v>9</v>
      </c>
    </row>
    <row r="957" spans="1:6">
      <c r="A957" t="s">
        <v>1337</v>
      </c>
      <c r="B957" t="s">
        <v>1808</v>
      </c>
      <c r="C957" t="s">
        <v>1809</v>
      </c>
      <c r="D957" s="1">
        <v>46249</v>
      </c>
      <c r="E957">
        <v>8469.9500000000007</v>
      </c>
      <c r="F957" t="s">
        <v>9</v>
      </c>
    </row>
    <row r="958" spans="1:6">
      <c r="A958" t="s">
        <v>1337</v>
      </c>
      <c r="B958" t="s">
        <v>1810</v>
      </c>
      <c r="C958" t="s">
        <v>1811</v>
      </c>
      <c r="D958" s="1">
        <v>46249</v>
      </c>
      <c r="E958">
        <v>35471.040000000001</v>
      </c>
      <c r="F958" t="s">
        <v>9</v>
      </c>
    </row>
    <row r="959" spans="1:6">
      <c r="A959" t="s">
        <v>1337</v>
      </c>
      <c r="B959" t="s">
        <v>1812</v>
      </c>
      <c r="C959" t="s">
        <v>1813</v>
      </c>
      <c r="D959" s="1">
        <v>46249</v>
      </c>
      <c r="E959">
        <v>67471.45</v>
      </c>
      <c r="F959" t="s">
        <v>16</v>
      </c>
    </row>
    <row r="960" spans="1:6">
      <c r="A960" t="s">
        <v>1337</v>
      </c>
      <c r="B960" t="s">
        <v>1814</v>
      </c>
      <c r="C960" t="s">
        <v>1815</v>
      </c>
      <c r="D960" s="1">
        <v>46249</v>
      </c>
      <c r="E960">
        <v>564376.17000000004</v>
      </c>
      <c r="F960" t="s">
        <v>9</v>
      </c>
    </row>
    <row r="961" spans="1:6">
      <c r="A961" t="s">
        <v>1337</v>
      </c>
      <c r="B961" t="s">
        <v>1816</v>
      </c>
      <c r="C961" t="s">
        <v>1817</v>
      </c>
      <c r="D961" s="1">
        <v>46249</v>
      </c>
      <c r="E961">
        <v>21307.439999999999</v>
      </c>
      <c r="F961" t="s">
        <v>16</v>
      </c>
    </row>
    <row r="962" spans="1:6">
      <c r="A962" t="s">
        <v>1337</v>
      </c>
      <c r="B962" t="s">
        <v>1818</v>
      </c>
      <c r="C962" t="s">
        <v>1819</v>
      </c>
      <c r="D962" s="1">
        <v>46249</v>
      </c>
      <c r="E962">
        <v>22377.759999999998</v>
      </c>
      <c r="F962" t="s">
        <v>26</v>
      </c>
    </row>
    <row r="963" spans="1:6">
      <c r="A963" t="s">
        <v>1337</v>
      </c>
      <c r="B963" t="s">
        <v>1820</v>
      </c>
      <c r="C963" t="s">
        <v>1821</v>
      </c>
      <c r="D963" s="1">
        <v>46249</v>
      </c>
      <c r="E963">
        <v>16167.82</v>
      </c>
      <c r="F963" t="s">
        <v>16</v>
      </c>
    </row>
    <row r="964" spans="1:6">
      <c r="A964" t="s">
        <v>1337</v>
      </c>
      <c r="B964" t="s">
        <v>1822</v>
      </c>
      <c r="C964" t="s">
        <v>1740</v>
      </c>
      <c r="D964" s="1">
        <v>46249</v>
      </c>
      <c r="E964">
        <v>25895.53</v>
      </c>
      <c r="F964" t="s">
        <v>26</v>
      </c>
    </row>
    <row r="965" spans="1:6">
      <c r="A965" t="s">
        <v>1337</v>
      </c>
      <c r="B965" t="s">
        <v>1823</v>
      </c>
      <c r="C965" t="s">
        <v>799</v>
      </c>
      <c r="D965" s="1">
        <v>46249</v>
      </c>
      <c r="E965">
        <v>165719.57</v>
      </c>
      <c r="F965" t="s">
        <v>9</v>
      </c>
    </row>
    <row r="966" spans="1:6">
      <c r="A966" t="s">
        <v>1337</v>
      </c>
      <c r="B966" t="s">
        <v>1824</v>
      </c>
      <c r="C966" t="s">
        <v>1592</v>
      </c>
      <c r="D966" s="1">
        <v>46249</v>
      </c>
      <c r="E966">
        <v>13171.52</v>
      </c>
      <c r="F966" t="s">
        <v>9</v>
      </c>
    </row>
    <row r="967" spans="1:6">
      <c r="A967" t="s">
        <v>1337</v>
      </c>
      <c r="B967" t="s">
        <v>1825</v>
      </c>
      <c r="C967" t="s">
        <v>1826</v>
      </c>
      <c r="D967" s="1">
        <v>46249</v>
      </c>
      <c r="E967">
        <v>1085115.3</v>
      </c>
      <c r="F967" t="s">
        <v>9</v>
      </c>
    </row>
    <row r="968" spans="1:6">
      <c r="A968" t="s">
        <v>1337</v>
      </c>
      <c r="B968" t="s">
        <v>1827</v>
      </c>
      <c r="C968" t="s">
        <v>1828</v>
      </c>
      <c r="D968" s="1">
        <v>46249</v>
      </c>
      <c r="E968">
        <v>87856.37</v>
      </c>
      <c r="F968" t="s">
        <v>9</v>
      </c>
    </row>
    <row r="969" spans="1:6">
      <c r="A969" t="s">
        <v>1337</v>
      </c>
      <c r="B969" t="s">
        <v>1829</v>
      </c>
      <c r="C969" t="s">
        <v>1830</v>
      </c>
      <c r="D969" s="1">
        <v>46249</v>
      </c>
      <c r="E969">
        <v>298606.26</v>
      </c>
      <c r="F969" t="s">
        <v>16</v>
      </c>
    </row>
    <row r="970" spans="1:6">
      <c r="A970" t="s">
        <v>1337</v>
      </c>
      <c r="B970" t="s">
        <v>1831</v>
      </c>
      <c r="C970" t="s">
        <v>1832</v>
      </c>
      <c r="D970" s="1">
        <v>46249</v>
      </c>
      <c r="E970">
        <v>240639.61</v>
      </c>
      <c r="F970" t="s">
        <v>16</v>
      </c>
    </row>
    <row r="971" spans="1:6">
      <c r="A971" t="s">
        <v>1337</v>
      </c>
      <c r="B971" t="s">
        <v>1833</v>
      </c>
      <c r="C971" t="s">
        <v>1279</v>
      </c>
      <c r="D971" s="1">
        <v>46249</v>
      </c>
      <c r="E971">
        <v>227346.64</v>
      </c>
      <c r="F971" t="s">
        <v>9</v>
      </c>
    </row>
    <row r="972" spans="1:6">
      <c r="A972" t="s">
        <v>1337</v>
      </c>
      <c r="B972" t="s">
        <v>1834</v>
      </c>
      <c r="C972" t="s">
        <v>1835</v>
      </c>
      <c r="D972" s="1">
        <v>46249</v>
      </c>
      <c r="E972">
        <v>88476.12</v>
      </c>
      <c r="F972" t="s">
        <v>16</v>
      </c>
    </row>
    <row r="973" spans="1:6">
      <c r="A973" t="s">
        <v>1337</v>
      </c>
      <c r="B973" t="s">
        <v>1836</v>
      </c>
      <c r="C973" t="s">
        <v>1837</v>
      </c>
      <c r="D973" s="1">
        <v>46249</v>
      </c>
      <c r="E973">
        <v>70485.009999999995</v>
      </c>
      <c r="F973" t="s">
        <v>16</v>
      </c>
    </row>
    <row r="974" spans="1:6">
      <c r="A974" t="s">
        <v>1337</v>
      </c>
      <c r="B974" t="s">
        <v>1838</v>
      </c>
      <c r="C974" t="s">
        <v>1473</v>
      </c>
      <c r="D974" s="1">
        <v>46249</v>
      </c>
      <c r="E974">
        <v>25352.6</v>
      </c>
      <c r="F974" t="s">
        <v>9</v>
      </c>
    </row>
    <row r="975" spans="1:6">
      <c r="A975" t="s">
        <v>1337</v>
      </c>
      <c r="B975" t="s">
        <v>1839</v>
      </c>
      <c r="C975" t="s">
        <v>1840</v>
      </c>
      <c r="D975" s="1">
        <v>46250</v>
      </c>
      <c r="E975">
        <v>1040526.48</v>
      </c>
      <c r="F975" t="s">
        <v>9</v>
      </c>
    </row>
    <row r="976" spans="1:6">
      <c r="A976" t="s">
        <v>1337</v>
      </c>
      <c r="B976" t="s">
        <v>1841</v>
      </c>
      <c r="C976" t="s">
        <v>1842</v>
      </c>
      <c r="D976" s="1">
        <v>46250</v>
      </c>
      <c r="E976">
        <v>36516.839999999997</v>
      </c>
      <c r="F976" t="s">
        <v>26</v>
      </c>
    </row>
    <row r="977" spans="1:6">
      <c r="A977" t="s">
        <v>1337</v>
      </c>
      <c r="B977" t="s">
        <v>1843</v>
      </c>
      <c r="C977" t="s">
        <v>1517</v>
      </c>
      <c r="D977" s="1">
        <v>46250</v>
      </c>
      <c r="E977">
        <v>24395.919999999998</v>
      </c>
      <c r="F977" t="s">
        <v>16</v>
      </c>
    </row>
    <row r="978" spans="1:6">
      <c r="A978" t="s">
        <v>1337</v>
      </c>
      <c r="B978" t="s">
        <v>1844</v>
      </c>
      <c r="C978" t="s">
        <v>1845</v>
      </c>
      <c r="D978" s="1">
        <v>46250</v>
      </c>
      <c r="E978">
        <v>23985.73</v>
      </c>
      <c r="F978" t="s">
        <v>9</v>
      </c>
    </row>
    <row r="979" spans="1:6">
      <c r="A979" t="s">
        <v>1337</v>
      </c>
      <c r="B979" t="s">
        <v>1846</v>
      </c>
      <c r="C979" t="s">
        <v>1847</v>
      </c>
      <c r="D979" s="1">
        <v>46250</v>
      </c>
      <c r="E979">
        <v>22084.01</v>
      </c>
      <c r="F979" t="s">
        <v>9</v>
      </c>
    </row>
    <row r="980" spans="1:6">
      <c r="A980" t="s">
        <v>1337</v>
      </c>
      <c r="B980" t="s">
        <v>1848</v>
      </c>
      <c r="C980" t="s">
        <v>1849</v>
      </c>
      <c r="D980" s="1">
        <v>46250</v>
      </c>
      <c r="E980">
        <v>235131.87</v>
      </c>
      <c r="F980" t="s">
        <v>9</v>
      </c>
    </row>
    <row r="981" spans="1:6">
      <c r="A981" t="s">
        <v>1337</v>
      </c>
      <c r="B981" t="s">
        <v>1850</v>
      </c>
      <c r="C981" t="s">
        <v>1851</v>
      </c>
      <c r="D981" s="1">
        <v>46250</v>
      </c>
      <c r="E981">
        <v>191643.33</v>
      </c>
      <c r="F981" t="s">
        <v>16</v>
      </c>
    </row>
    <row r="982" spans="1:6">
      <c r="A982" t="s">
        <v>1337</v>
      </c>
      <c r="B982" t="s">
        <v>1852</v>
      </c>
      <c r="C982" t="s">
        <v>1853</v>
      </c>
      <c r="D982" s="1">
        <v>46250</v>
      </c>
      <c r="E982">
        <v>21560.65</v>
      </c>
      <c r="F982" t="s">
        <v>16</v>
      </c>
    </row>
    <row r="983" spans="1:6">
      <c r="A983" t="s">
        <v>1337</v>
      </c>
      <c r="B983" t="s">
        <v>1854</v>
      </c>
      <c r="C983" t="s">
        <v>1855</v>
      </c>
      <c r="D983" s="1">
        <v>46250</v>
      </c>
      <c r="E983">
        <v>60510.86</v>
      </c>
      <c r="F983" t="s">
        <v>9</v>
      </c>
    </row>
    <row r="984" spans="1:6">
      <c r="A984" t="s">
        <v>1337</v>
      </c>
      <c r="B984" t="s">
        <v>1856</v>
      </c>
      <c r="C984" t="s">
        <v>1857</v>
      </c>
      <c r="D984" s="1">
        <v>46250</v>
      </c>
      <c r="E984">
        <v>575133.57999999996</v>
      </c>
      <c r="F984" t="s">
        <v>16</v>
      </c>
    </row>
    <row r="985" spans="1:6">
      <c r="A985" t="s">
        <v>1337</v>
      </c>
      <c r="B985" t="s">
        <v>1858</v>
      </c>
      <c r="C985" t="s">
        <v>1859</v>
      </c>
      <c r="D985" s="1">
        <v>46250</v>
      </c>
      <c r="E985">
        <v>77907.56</v>
      </c>
      <c r="F985" t="s">
        <v>9</v>
      </c>
    </row>
    <row r="986" spans="1:6">
      <c r="A986" t="s">
        <v>1337</v>
      </c>
      <c r="B986" t="s">
        <v>1860</v>
      </c>
      <c r="C986" t="s">
        <v>1861</v>
      </c>
      <c r="D986" s="1">
        <v>46250</v>
      </c>
      <c r="E986">
        <v>698784.1</v>
      </c>
      <c r="F986" t="s">
        <v>26</v>
      </c>
    </row>
    <row r="987" spans="1:6">
      <c r="A987" t="s">
        <v>1337</v>
      </c>
      <c r="B987" t="s">
        <v>1862</v>
      </c>
      <c r="C987" t="s">
        <v>1863</v>
      </c>
      <c r="D987" s="1">
        <v>46250</v>
      </c>
      <c r="E987">
        <v>92008.36</v>
      </c>
      <c r="F987" t="s">
        <v>26</v>
      </c>
    </row>
    <row r="988" spans="1:6">
      <c r="A988" t="s">
        <v>1337</v>
      </c>
      <c r="B988" t="s">
        <v>1864</v>
      </c>
      <c r="C988" t="s">
        <v>1865</v>
      </c>
      <c r="D988" s="1">
        <v>46250</v>
      </c>
      <c r="E988">
        <v>618897.98</v>
      </c>
      <c r="F988" t="s">
        <v>26</v>
      </c>
    </row>
    <row r="989" spans="1:6">
      <c r="A989" t="s">
        <v>1337</v>
      </c>
      <c r="B989" t="s">
        <v>1866</v>
      </c>
      <c r="C989" t="s">
        <v>1867</v>
      </c>
      <c r="D989" s="1">
        <v>46250</v>
      </c>
      <c r="E989">
        <v>274898.94</v>
      </c>
      <c r="F989" t="s">
        <v>9</v>
      </c>
    </row>
    <row r="990" spans="1:6">
      <c r="A990" t="s">
        <v>1337</v>
      </c>
      <c r="B990" t="s">
        <v>1868</v>
      </c>
      <c r="C990" t="s">
        <v>1869</v>
      </c>
      <c r="D990" s="1">
        <v>46250</v>
      </c>
      <c r="E990">
        <v>9761.7000000000007</v>
      </c>
      <c r="F990" t="s">
        <v>9</v>
      </c>
    </row>
    <row r="991" spans="1:6">
      <c r="A991" t="s">
        <v>1337</v>
      </c>
      <c r="B991" t="s">
        <v>1870</v>
      </c>
      <c r="C991" t="s">
        <v>1869</v>
      </c>
      <c r="D991" s="1">
        <v>46250</v>
      </c>
      <c r="E991">
        <v>14634.84</v>
      </c>
      <c r="F991" t="s">
        <v>9</v>
      </c>
    </row>
    <row r="992" spans="1:6">
      <c r="A992" t="s">
        <v>1337</v>
      </c>
      <c r="B992" t="s">
        <v>1871</v>
      </c>
      <c r="C992" t="s">
        <v>1872</v>
      </c>
      <c r="D992" s="1">
        <v>46250</v>
      </c>
      <c r="E992">
        <v>24879.200000000001</v>
      </c>
      <c r="F992" t="s">
        <v>16</v>
      </c>
    </row>
    <row r="993" spans="1:6">
      <c r="A993" t="s">
        <v>1337</v>
      </c>
      <c r="B993" t="s">
        <v>1873</v>
      </c>
      <c r="C993" t="s">
        <v>1874</v>
      </c>
      <c r="D993" s="1">
        <v>46250</v>
      </c>
      <c r="E993">
        <v>15233.56</v>
      </c>
      <c r="F993" t="s">
        <v>16</v>
      </c>
    </row>
    <row r="994" spans="1:6">
      <c r="A994" t="s">
        <v>1337</v>
      </c>
      <c r="B994" t="s">
        <v>1875</v>
      </c>
      <c r="C994" t="s">
        <v>1876</v>
      </c>
      <c r="D994" s="1">
        <v>46250</v>
      </c>
      <c r="E994">
        <v>56010.14</v>
      </c>
      <c r="F994" t="s">
        <v>16</v>
      </c>
    </row>
    <row r="995" spans="1:6">
      <c r="A995" t="s">
        <v>1337</v>
      </c>
      <c r="B995" t="s">
        <v>1877</v>
      </c>
      <c r="C995" t="s">
        <v>1878</v>
      </c>
      <c r="D995" s="1">
        <v>46251</v>
      </c>
      <c r="E995">
        <v>706804.35</v>
      </c>
      <c r="F995" t="s">
        <v>9</v>
      </c>
    </row>
    <row r="996" spans="1:6">
      <c r="A996" t="s">
        <v>1337</v>
      </c>
      <c r="B996" t="s">
        <v>1879</v>
      </c>
      <c r="C996" t="s">
        <v>1880</v>
      </c>
      <c r="D996" s="1">
        <v>46251</v>
      </c>
      <c r="E996">
        <v>670887.15</v>
      </c>
      <c r="F996" t="s">
        <v>9</v>
      </c>
    </row>
    <row r="997" spans="1:6">
      <c r="A997" t="s">
        <v>1337</v>
      </c>
      <c r="B997" t="s">
        <v>1881</v>
      </c>
      <c r="C997" t="s">
        <v>1882</v>
      </c>
      <c r="D997" s="1">
        <v>46251</v>
      </c>
      <c r="E997">
        <v>64645.7</v>
      </c>
      <c r="F997" t="s">
        <v>9</v>
      </c>
    </row>
    <row r="998" spans="1:6">
      <c r="A998" t="s">
        <v>1337</v>
      </c>
      <c r="B998" t="s">
        <v>1883</v>
      </c>
      <c r="C998" t="s">
        <v>1884</v>
      </c>
      <c r="D998" s="1">
        <v>46251</v>
      </c>
      <c r="E998">
        <v>118347.62</v>
      </c>
      <c r="F998" t="s">
        <v>9</v>
      </c>
    </row>
    <row r="999" spans="1:6">
      <c r="A999" t="s">
        <v>1337</v>
      </c>
      <c r="B999" t="s">
        <v>1885</v>
      </c>
      <c r="C999" t="s">
        <v>1886</v>
      </c>
      <c r="D999" s="1">
        <v>46251</v>
      </c>
      <c r="E999">
        <v>45548.29</v>
      </c>
      <c r="F999" t="s">
        <v>9</v>
      </c>
    </row>
    <row r="1000" spans="1:6">
      <c r="A1000" t="s">
        <v>1337</v>
      </c>
      <c r="B1000" t="s">
        <v>1887</v>
      </c>
      <c r="C1000" t="s">
        <v>1183</v>
      </c>
      <c r="D1000" s="1">
        <v>46251</v>
      </c>
      <c r="E1000">
        <v>161262.71</v>
      </c>
      <c r="F1000" t="s">
        <v>9</v>
      </c>
    </row>
    <row r="1001" spans="1:6">
      <c r="A1001" t="s">
        <v>1337</v>
      </c>
      <c r="B1001" t="s">
        <v>1888</v>
      </c>
      <c r="C1001" t="s">
        <v>1889</v>
      </c>
      <c r="D1001" s="1">
        <v>46251</v>
      </c>
      <c r="E1001">
        <v>66045.56</v>
      </c>
      <c r="F1001" t="s">
        <v>26</v>
      </c>
    </row>
    <row r="1002" spans="1:6">
      <c r="A1002" t="s">
        <v>1337</v>
      </c>
      <c r="B1002" t="s">
        <v>1890</v>
      </c>
      <c r="C1002" t="s">
        <v>1891</v>
      </c>
      <c r="D1002" s="1">
        <v>46251</v>
      </c>
      <c r="E1002">
        <v>43927.47</v>
      </c>
      <c r="F1002" t="s">
        <v>16</v>
      </c>
    </row>
    <row r="1003" spans="1:6">
      <c r="A1003" t="s">
        <v>1337</v>
      </c>
      <c r="B1003" t="s">
        <v>1892</v>
      </c>
      <c r="C1003" t="s">
        <v>1893</v>
      </c>
      <c r="D1003" s="1">
        <v>46251</v>
      </c>
      <c r="E1003">
        <v>731983.59</v>
      </c>
      <c r="F1003" t="s">
        <v>16</v>
      </c>
    </row>
    <row r="1004" spans="1:6">
      <c r="A1004" t="s">
        <v>1337</v>
      </c>
      <c r="B1004" t="s">
        <v>1894</v>
      </c>
      <c r="C1004" t="s">
        <v>1895</v>
      </c>
      <c r="D1004" s="1">
        <v>46251</v>
      </c>
      <c r="E1004">
        <v>99266.6</v>
      </c>
      <c r="F1004" t="s">
        <v>9</v>
      </c>
    </row>
    <row r="1005" spans="1:6">
      <c r="A1005" t="s">
        <v>1337</v>
      </c>
      <c r="B1005" t="s">
        <v>1896</v>
      </c>
      <c r="C1005" t="s">
        <v>1897</v>
      </c>
      <c r="D1005" s="1">
        <v>46251</v>
      </c>
      <c r="E1005">
        <v>44731.68</v>
      </c>
      <c r="F1005" t="s">
        <v>9</v>
      </c>
    </row>
    <row r="1006" spans="1:6">
      <c r="A1006" t="s">
        <v>1337</v>
      </c>
      <c r="B1006" t="s">
        <v>1898</v>
      </c>
      <c r="C1006" t="s">
        <v>1899</v>
      </c>
      <c r="D1006" s="1">
        <v>46251</v>
      </c>
      <c r="E1006">
        <v>161848.87</v>
      </c>
      <c r="F1006" t="s">
        <v>9</v>
      </c>
    </row>
    <row r="1007" spans="1:6">
      <c r="A1007" t="s">
        <v>1337</v>
      </c>
      <c r="B1007" t="s">
        <v>1900</v>
      </c>
      <c r="C1007" t="s">
        <v>1355</v>
      </c>
      <c r="D1007" s="1">
        <v>46251</v>
      </c>
      <c r="E1007">
        <v>29923.27</v>
      </c>
      <c r="F1007" t="s">
        <v>26</v>
      </c>
    </row>
    <row r="1008" spans="1:6">
      <c r="A1008" t="s">
        <v>1337</v>
      </c>
      <c r="B1008" t="s">
        <v>1901</v>
      </c>
      <c r="C1008" t="s">
        <v>1603</v>
      </c>
      <c r="D1008" s="1">
        <v>46251</v>
      </c>
      <c r="E1008">
        <v>40922.43</v>
      </c>
      <c r="F1008" t="s">
        <v>16</v>
      </c>
    </row>
    <row r="1009" spans="1:6">
      <c r="A1009" t="s">
        <v>1337</v>
      </c>
      <c r="B1009" t="s">
        <v>1902</v>
      </c>
      <c r="C1009" t="s">
        <v>1903</v>
      </c>
      <c r="D1009" s="1">
        <v>46251</v>
      </c>
      <c r="E1009">
        <v>28565.09</v>
      </c>
      <c r="F1009" t="s">
        <v>9</v>
      </c>
    </row>
    <row r="1010" spans="1:6">
      <c r="A1010" t="s">
        <v>1337</v>
      </c>
      <c r="B1010" t="s">
        <v>1904</v>
      </c>
      <c r="C1010" t="s">
        <v>1905</v>
      </c>
      <c r="D1010" s="1">
        <v>46251</v>
      </c>
      <c r="E1010">
        <v>150172.91</v>
      </c>
      <c r="F1010" t="s">
        <v>26</v>
      </c>
    </row>
    <row r="1011" spans="1:6">
      <c r="A1011" t="s">
        <v>1337</v>
      </c>
      <c r="B1011" t="s">
        <v>1906</v>
      </c>
      <c r="C1011" t="s">
        <v>1789</v>
      </c>
      <c r="D1011" s="1">
        <v>46251</v>
      </c>
      <c r="E1011">
        <v>1315.27</v>
      </c>
      <c r="F1011" t="s">
        <v>9</v>
      </c>
    </row>
    <row r="1012" spans="1:6">
      <c r="A1012" t="s">
        <v>1337</v>
      </c>
      <c r="B1012" t="s">
        <v>1907</v>
      </c>
      <c r="C1012" t="s">
        <v>1908</v>
      </c>
      <c r="D1012" s="1">
        <v>46251</v>
      </c>
      <c r="E1012">
        <v>30463.82</v>
      </c>
      <c r="F1012" t="s">
        <v>9</v>
      </c>
    </row>
    <row r="1013" spans="1:6">
      <c r="A1013" t="s">
        <v>1337</v>
      </c>
      <c r="B1013" t="s">
        <v>1909</v>
      </c>
      <c r="C1013" t="s">
        <v>1910</v>
      </c>
      <c r="D1013" s="1">
        <v>46251</v>
      </c>
      <c r="E1013">
        <v>557484.42000000004</v>
      </c>
      <c r="F1013" t="s">
        <v>9</v>
      </c>
    </row>
    <row r="1014" spans="1:6">
      <c r="A1014" t="s">
        <v>1337</v>
      </c>
      <c r="B1014" t="s">
        <v>1911</v>
      </c>
      <c r="C1014" t="s">
        <v>1791</v>
      </c>
      <c r="D1014" s="1">
        <v>46251</v>
      </c>
      <c r="E1014">
        <v>43315.35</v>
      </c>
      <c r="F1014" t="s">
        <v>16</v>
      </c>
    </row>
    <row r="1015" spans="1:6">
      <c r="A1015" t="s">
        <v>1337</v>
      </c>
      <c r="B1015" t="s">
        <v>1912</v>
      </c>
      <c r="C1015" t="s">
        <v>1913</v>
      </c>
      <c r="D1015" s="1">
        <v>46251</v>
      </c>
      <c r="E1015">
        <v>116015.81</v>
      </c>
      <c r="F1015" t="s">
        <v>9</v>
      </c>
    </row>
    <row r="1016" spans="1:6">
      <c r="A1016" t="s">
        <v>1337</v>
      </c>
      <c r="B1016" t="s">
        <v>1914</v>
      </c>
      <c r="C1016" t="s">
        <v>1915</v>
      </c>
      <c r="D1016" s="1">
        <v>46251</v>
      </c>
      <c r="E1016">
        <v>786856.6</v>
      </c>
      <c r="F1016" t="s">
        <v>16</v>
      </c>
    </row>
    <row r="1017" spans="1:6">
      <c r="A1017" t="s">
        <v>1337</v>
      </c>
      <c r="B1017" t="s">
        <v>1916</v>
      </c>
      <c r="C1017" t="s">
        <v>1616</v>
      </c>
      <c r="D1017" s="1">
        <v>46251</v>
      </c>
      <c r="E1017">
        <v>300952.77</v>
      </c>
      <c r="F1017" t="s">
        <v>9</v>
      </c>
    </row>
    <row r="1018" spans="1:6">
      <c r="A1018" t="s">
        <v>1337</v>
      </c>
      <c r="B1018" t="s">
        <v>1917</v>
      </c>
      <c r="C1018" t="s">
        <v>1918</v>
      </c>
      <c r="D1018" s="1">
        <v>46251</v>
      </c>
      <c r="E1018">
        <v>199742.78</v>
      </c>
      <c r="F1018" t="s">
        <v>9</v>
      </c>
    </row>
    <row r="1019" spans="1:6">
      <c r="A1019" t="s">
        <v>1337</v>
      </c>
      <c r="B1019" t="s">
        <v>1919</v>
      </c>
      <c r="C1019" t="s">
        <v>1920</v>
      </c>
      <c r="D1019" s="1">
        <v>46251</v>
      </c>
      <c r="E1019">
        <v>685293.26</v>
      </c>
      <c r="F1019" t="s">
        <v>16</v>
      </c>
    </row>
    <row r="1020" spans="1:6">
      <c r="A1020" t="s">
        <v>1337</v>
      </c>
      <c r="B1020" t="s">
        <v>1921</v>
      </c>
      <c r="C1020" t="s">
        <v>1922</v>
      </c>
      <c r="D1020" s="1">
        <v>46251</v>
      </c>
      <c r="E1020">
        <v>233980.15</v>
      </c>
      <c r="F1020" t="s">
        <v>16</v>
      </c>
    </row>
    <row r="1021" spans="1:6">
      <c r="A1021" t="s">
        <v>1337</v>
      </c>
      <c r="B1021" t="s">
        <v>1923</v>
      </c>
      <c r="C1021" t="s">
        <v>1924</v>
      </c>
      <c r="D1021" s="1">
        <v>46251</v>
      </c>
      <c r="E1021">
        <v>14376.29</v>
      </c>
      <c r="F1021" t="s">
        <v>16</v>
      </c>
    </row>
    <row r="1022" spans="1:6">
      <c r="A1022" t="s">
        <v>1337</v>
      </c>
      <c r="B1022" t="s">
        <v>1925</v>
      </c>
      <c r="C1022" t="s">
        <v>1926</v>
      </c>
      <c r="D1022" s="1">
        <v>46251</v>
      </c>
      <c r="E1022">
        <v>25744.720000000001</v>
      </c>
      <c r="F1022" t="s">
        <v>9</v>
      </c>
    </row>
    <row r="1023" spans="1:6">
      <c r="A1023" t="s">
        <v>1337</v>
      </c>
      <c r="B1023" t="s">
        <v>1927</v>
      </c>
      <c r="C1023" t="s">
        <v>1324</v>
      </c>
      <c r="D1023" s="1">
        <v>46252</v>
      </c>
      <c r="E1023">
        <v>67523.05</v>
      </c>
      <c r="F1023" t="s">
        <v>9</v>
      </c>
    </row>
    <row r="1024" spans="1:6">
      <c r="A1024" t="s">
        <v>1337</v>
      </c>
      <c r="B1024" t="s">
        <v>1928</v>
      </c>
      <c r="C1024" t="s">
        <v>1929</v>
      </c>
      <c r="D1024" s="1">
        <v>46252</v>
      </c>
      <c r="E1024">
        <v>27974.97</v>
      </c>
      <c r="F1024" t="s">
        <v>16</v>
      </c>
    </row>
    <row r="1025" spans="1:6">
      <c r="A1025" t="s">
        <v>1337</v>
      </c>
      <c r="B1025" t="s">
        <v>1930</v>
      </c>
      <c r="C1025" t="s">
        <v>633</v>
      </c>
      <c r="D1025" s="1">
        <v>46252</v>
      </c>
      <c r="E1025">
        <v>28267.599999999999</v>
      </c>
      <c r="F1025" t="s">
        <v>9</v>
      </c>
    </row>
    <row r="1026" spans="1:6">
      <c r="A1026" t="s">
        <v>1337</v>
      </c>
      <c r="B1026" t="s">
        <v>1931</v>
      </c>
      <c r="C1026" t="s">
        <v>1932</v>
      </c>
      <c r="D1026" s="1">
        <v>46252</v>
      </c>
      <c r="E1026">
        <v>48731.95</v>
      </c>
      <c r="F1026" t="s">
        <v>9</v>
      </c>
    </row>
    <row r="1027" spans="1:6">
      <c r="A1027" t="s">
        <v>1337</v>
      </c>
      <c r="B1027" t="s">
        <v>1933</v>
      </c>
      <c r="C1027" t="s">
        <v>1934</v>
      </c>
      <c r="D1027" s="1">
        <v>46252</v>
      </c>
      <c r="E1027">
        <v>48002.53</v>
      </c>
      <c r="F1027" t="s">
        <v>9</v>
      </c>
    </row>
    <row r="1028" spans="1:6">
      <c r="A1028" t="s">
        <v>1337</v>
      </c>
      <c r="B1028" t="s">
        <v>1935</v>
      </c>
      <c r="C1028" t="s">
        <v>1936</v>
      </c>
      <c r="D1028" s="1">
        <v>46252</v>
      </c>
      <c r="E1028">
        <v>14576.91</v>
      </c>
      <c r="F1028" t="s">
        <v>16</v>
      </c>
    </row>
    <row r="1029" spans="1:6">
      <c r="A1029" t="s">
        <v>1337</v>
      </c>
      <c r="B1029" t="s">
        <v>1937</v>
      </c>
      <c r="C1029" t="s">
        <v>1938</v>
      </c>
      <c r="D1029" s="1">
        <v>46252</v>
      </c>
      <c r="E1029">
        <v>74265.84</v>
      </c>
      <c r="F1029" t="s">
        <v>9</v>
      </c>
    </row>
    <row r="1030" spans="1:6">
      <c r="A1030" t="s">
        <v>1337</v>
      </c>
      <c r="B1030" t="s">
        <v>1939</v>
      </c>
      <c r="C1030" t="s">
        <v>1940</v>
      </c>
      <c r="D1030" s="1">
        <v>46252</v>
      </c>
      <c r="E1030">
        <v>764420.43</v>
      </c>
      <c r="F1030" t="s">
        <v>9</v>
      </c>
    </row>
    <row r="1031" spans="1:6">
      <c r="A1031" t="s">
        <v>1337</v>
      </c>
      <c r="B1031" t="s">
        <v>1941</v>
      </c>
      <c r="C1031" t="s">
        <v>1515</v>
      </c>
      <c r="D1031" s="1">
        <v>46252</v>
      </c>
      <c r="E1031">
        <v>295731.09999999998</v>
      </c>
      <c r="F1031" t="s">
        <v>16</v>
      </c>
    </row>
    <row r="1032" spans="1:6">
      <c r="A1032" t="s">
        <v>1337</v>
      </c>
      <c r="B1032" t="s">
        <v>1942</v>
      </c>
      <c r="C1032" t="s">
        <v>1943</v>
      </c>
      <c r="D1032" s="1">
        <v>46252</v>
      </c>
      <c r="E1032">
        <v>798147.48</v>
      </c>
      <c r="F1032" t="s">
        <v>16</v>
      </c>
    </row>
    <row r="1033" spans="1:6">
      <c r="A1033" t="s">
        <v>1337</v>
      </c>
      <c r="B1033" t="s">
        <v>1944</v>
      </c>
      <c r="C1033" t="s">
        <v>1945</v>
      </c>
      <c r="D1033" s="1">
        <v>46252</v>
      </c>
      <c r="E1033">
        <v>491338.04</v>
      </c>
      <c r="F1033" t="s">
        <v>16</v>
      </c>
    </row>
    <row r="1034" spans="1:6">
      <c r="A1034" t="s">
        <v>1337</v>
      </c>
      <c r="B1034" t="s">
        <v>1946</v>
      </c>
      <c r="C1034" t="s">
        <v>1947</v>
      </c>
      <c r="D1034" s="1">
        <v>46252</v>
      </c>
      <c r="E1034">
        <v>192818.87</v>
      </c>
      <c r="F1034" t="s">
        <v>16</v>
      </c>
    </row>
    <row r="1035" spans="1:6">
      <c r="A1035" t="s">
        <v>1337</v>
      </c>
      <c r="B1035" t="s">
        <v>1948</v>
      </c>
      <c r="C1035" t="s">
        <v>1949</v>
      </c>
      <c r="D1035" s="1">
        <v>46252</v>
      </c>
      <c r="E1035">
        <v>34087.949999999997</v>
      </c>
      <c r="F1035" t="s">
        <v>9</v>
      </c>
    </row>
    <row r="1036" spans="1:6">
      <c r="A1036" t="s">
        <v>1337</v>
      </c>
      <c r="B1036" t="s">
        <v>1950</v>
      </c>
      <c r="C1036" t="s">
        <v>1262</v>
      </c>
      <c r="D1036" s="1">
        <v>46252</v>
      </c>
      <c r="E1036">
        <v>17482.75</v>
      </c>
      <c r="F1036" t="s">
        <v>9</v>
      </c>
    </row>
    <row r="1037" spans="1:6">
      <c r="A1037" t="s">
        <v>1337</v>
      </c>
      <c r="B1037" t="s">
        <v>1951</v>
      </c>
      <c r="C1037" t="s">
        <v>1952</v>
      </c>
      <c r="D1037" s="1">
        <v>46252</v>
      </c>
      <c r="E1037">
        <v>507305.9</v>
      </c>
      <c r="F1037" t="s">
        <v>16</v>
      </c>
    </row>
    <row r="1038" spans="1:6">
      <c r="A1038" t="s">
        <v>1337</v>
      </c>
      <c r="B1038" t="s">
        <v>1953</v>
      </c>
      <c r="C1038" t="s">
        <v>1954</v>
      </c>
      <c r="D1038" s="1">
        <v>46252</v>
      </c>
      <c r="E1038">
        <v>5289.05</v>
      </c>
      <c r="F1038" t="s">
        <v>9</v>
      </c>
    </row>
    <row r="1039" spans="1:6">
      <c r="A1039" t="s">
        <v>1337</v>
      </c>
      <c r="B1039" t="s">
        <v>1955</v>
      </c>
      <c r="C1039" t="s">
        <v>1956</v>
      </c>
      <c r="D1039" s="1">
        <v>46252</v>
      </c>
      <c r="E1039">
        <v>273433.34000000003</v>
      </c>
      <c r="F1039" t="s">
        <v>9</v>
      </c>
    </row>
    <row r="1040" spans="1:6">
      <c r="A1040" t="s">
        <v>1337</v>
      </c>
      <c r="B1040" t="s">
        <v>1957</v>
      </c>
      <c r="C1040" t="s">
        <v>1958</v>
      </c>
      <c r="D1040" s="1">
        <v>46252</v>
      </c>
      <c r="E1040">
        <v>111510.5</v>
      </c>
      <c r="F1040" t="s">
        <v>16</v>
      </c>
    </row>
    <row r="1041" spans="1:6">
      <c r="A1041" t="s">
        <v>1337</v>
      </c>
      <c r="B1041" t="s">
        <v>1959</v>
      </c>
      <c r="C1041" t="s">
        <v>1960</v>
      </c>
      <c r="D1041" s="1">
        <v>46252</v>
      </c>
      <c r="E1041">
        <v>133174.57999999999</v>
      </c>
      <c r="F1041" t="s">
        <v>9</v>
      </c>
    </row>
    <row r="1042" spans="1:6">
      <c r="A1042" t="s">
        <v>1337</v>
      </c>
      <c r="B1042" t="s">
        <v>1961</v>
      </c>
      <c r="C1042" t="s">
        <v>1920</v>
      </c>
      <c r="D1042" s="1">
        <v>46252</v>
      </c>
      <c r="E1042">
        <v>1314706.74</v>
      </c>
      <c r="F1042" t="s">
        <v>9</v>
      </c>
    </row>
    <row r="1043" spans="1:6">
      <c r="A1043" t="s">
        <v>1337</v>
      </c>
      <c r="B1043" t="s">
        <v>1962</v>
      </c>
      <c r="C1043" t="s">
        <v>1963</v>
      </c>
      <c r="D1043" s="1">
        <v>46252</v>
      </c>
      <c r="E1043">
        <v>35037.99</v>
      </c>
      <c r="F1043" t="s">
        <v>9</v>
      </c>
    </row>
    <row r="1044" spans="1:6">
      <c r="A1044" t="s">
        <v>1337</v>
      </c>
      <c r="B1044" t="s">
        <v>1964</v>
      </c>
      <c r="C1044" t="s">
        <v>1965</v>
      </c>
      <c r="D1044" s="1">
        <v>46252</v>
      </c>
      <c r="E1044">
        <v>129344.12</v>
      </c>
      <c r="F1044" t="s">
        <v>9</v>
      </c>
    </row>
    <row r="1045" spans="1:6">
      <c r="A1045" t="s">
        <v>1337</v>
      </c>
      <c r="B1045" t="s">
        <v>1966</v>
      </c>
      <c r="C1045" t="s">
        <v>1967</v>
      </c>
      <c r="D1045" s="1">
        <v>46252</v>
      </c>
      <c r="E1045">
        <v>49262.03</v>
      </c>
      <c r="F1045" t="s">
        <v>9</v>
      </c>
    </row>
    <row r="1046" spans="1:6">
      <c r="A1046" t="s">
        <v>1337</v>
      </c>
      <c r="B1046" t="s">
        <v>1968</v>
      </c>
      <c r="C1046" t="s">
        <v>1969</v>
      </c>
      <c r="D1046" s="1">
        <v>46252</v>
      </c>
      <c r="E1046">
        <v>7291.65</v>
      </c>
      <c r="F1046" t="s">
        <v>26</v>
      </c>
    </row>
    <row r="1047" spans="1:6">
      <c r="A1047" t="s">
        <v>1337</v>
      </c>
      <c r="B1047" t="s">
        <v>1970</v>
      </c>
      <c r="C1047" t="s">
        <v>1971</v>
      </c>
      <c r="D1047" s="1">
        <v>46252</v>
      </c>
      <c r="E1047">
        <v>27998.33</v>
      </c>
      <c r="F1047" t="s">
        <v>9</v>
      </c>
    </row>
    <row r="1048" spans="1:6">
      <c r="A1048" t="s">
        <v>1337</v>
      </c>
      <c r="B1048" t="s">
        <v>1972</v>
      </c>
      <c r="C1048" t="s">
        <v>734</v>
      </c>
      <c r="D1048" s="1">
        <v>46253</v>
      </c>
      <c r="E1048">
        <v>38034.949999999997</v>
      </c>
      <c r="F1048" t="s">
        <v>9</v>
      </c>
    </row>
    <row r="1049" spans="1:6">
      <c r="A1049" t="s">
        <v>1337</v>
      </c>
      <c r="B1049" t="s">
        <v>1973</v>
      </c>
      <c r="C1049" t="s">
        <v>1974</v>
      </c>
      <c r="D1049" s="1">
        <v>46253</v>
      </c>
      <c r="E1049">
        <v>1646635.62</v>
      </c>
      <c r="F1049" t="s">
        <v>9</v>
      </c>
    </row>
    <row r="1050" spans="1:6">
      <c r="A1050" t="s">
        <v>1337</v>
      </c>
      <c r="B1050" t="s">
        <v>1975</v>
      </c>
      <c r="C1050" t="s">
        <v>1976</v>
      </c>
      <c r="D1050" s="1">
        <v>46253</v>
      </c>
      <c r="E1050">
        <v>55096.06</v>
      </c>
      <c r="F1050" t="s">
        <v>9</v>
      </c>
    </row>
    <row r="1051" spans="1:6">
      <c r="A1051" t="s">
        <v>1337</v>
      </c>
      <c r="B1051" t="s">
        <v>1977</v>
      </c>
      <c r="C1051" t="s">
        <v>1978</v>
      </c>
      <c r="D1051" s="1">
        <v>46253</v>
      </c>
      <c r="E1051">
        <v>27201.06</v>
      </c>
      <c r="F1051" t="s">
        <v>9</v>
      </c>
    </row>
    <row r="1052" spans="1:6">
      <c r="A1052" t="s">
        <v>1337</v>
      </c>
      <c r="B1052" t="s">
        <v>1979</v>
      </c>
      <c r="C1052" t="s">
        <v>1980</v>
      </c>
      <c r="D1052" s="1">
        <v>46253</v>
      </c>
      <c r="E1052">
        <v>463294.53</v>
      </c>
      <c r="F1052" t="s">
        <v>9</v>
      </c>
    </row>
    <row r="1053" spans="1:6">
      <c r="A1053" t="s">
        <v>1337</v>
      </c>
      <c r="B1053" t="s">
        <v>1981</v>
      </c>
      <c r="C1053" t="s">
        <v>1982</v>
      </c>
      <c r="D1053" s="1">
        <v>46253</v>
      </c>
      <c r="E1053">
        <v>200721</v>
      </c>
      <c r="F1053" t="s">
        <v>9</v>
      </c>
    </row>
    <row r="1054" spans="1:6">
      <c r="A1054" t="s">
        <v>1337</v>
      </c>
      <c r="B1054" t="s">
        <v>1983</v>
      </c>
      <c r="C1054" t="s">
        <v>1984</v>
      </c>
      <c r="D1054" s="1">
        <v>46253</v>
      </c>
      <c r="E1054">
        <v>223451.12</v>
      </c>
      <c r="F1054" t="s">
        <v>9</v>
      </c>
    </row>
    <row r="1055" spans="1:6">
      <c r="A1055" t="s">
        <v>1337</v>
      </c>
      <c r="B1055" t="s">
        <v>1985</v>
      </c>
      <c r="C1055" t="s">
        <v>797</v>
      </c>
      <c r="D1055" s="1">
        <v>46253</v>
      </c>
      <c r="E1055">
        <v>10220.08</v>
      </c>
      <c r="F1055" t="s">
        <v>9</v>
      </c>
    </row>
    <row r="1056" spans="1:6">
      <c r="A1056" t="s">
        <v>1337</v>
      </c>
      <c r="B1056" t="s">
        <v>1986</v>
      </c>
      <c r="C1056" t="s">
        <v>1987</v>
      </c>
      <c r="D1056" s="1">
        <v>46253</v>
      </c>
      <c r="E1056">
        <v>565519.84</v>
      </c>
      <c r="F1056" t="s">
        <v>26</v>
      </c>
    </row>
    <row r="1057" spans="1:6">
      <c r="A1057" t="s">
        <v>1337</v>
      </c>
      <c r="B1057" t="s">
        <v>1988</v>
      </c>
      <c r="C1057" t="s">
        <v>1989</v>
      </c>
      <c r="D1057" s="1">
        <v>46253</v>
      </c>
      <c r="E1057">
        <v>158911.54999999999</v>
      </c>
      <c r="F1057" t="s">
        <v>16</v>
      </c>
    </row>
    <row r="1058" spans="1:6">
      <c r="A1058" t="s">
        <v>1337</v>
      </c>
      <c r="B1058" t="s">
        <v>1990</v>
      </c>
      <c r="C1058" t="s">
        <v>1991</v>
      </c>
      <c r="D1058" s="1">
        <v>46253</v>
      </c>
      <c r="E1058">
        <v>19101.439999999999</v>
      </c>
      <c r="F1058" t="s">
        <v>16</v>
      </c>
    </row>
    <row r="1059" spans="1:6">
      <c r="A1059" t="s">
        <v>1337</v>
      </c>
      <c r="B1059" t="s">
        <v>1992</v>
      </c>
      <c r="C1059" t="s">
        <v>1993</v>
      </c>
      <c r="D1059" s="1">
        <v>46253</v>
      </c>
      <c r="E1059">
        <v>104505.31</v>
      </c>
      <c r="F1059" t="s">
        <v>9</v>
      </c>
    </row>
    <row r="1060" spans="1:6">
      <c r="A1060" t="s">
        <v>1337</v>
      </c>
      <c r="B1060" t="s">
        <v>1994</v>
      </c>
      <c r="C1060" t="s">
        <v>1995</v>
      </c>
      <c r="D1060" s="1">
        <v>46253</v>
      </c>
      <c r="E1060">
        <v>95184.34</v>
      </c>
      <c r="F1060" t="s">
        <v>16</v>
      </c>
    </row>
    <row r="1061" spans="1:6">
      <c r="A1061" t="s">
        <v>1337</v>
      </c>
      <c r="B1061" t="s">
        <v>1996</v>
      </c>
      <c r="C1061" t="s">
        <v>1997</v>
      </c>
      <c r="D1061" s="1">
        <v>46253</v>
      </c>
      <c r="E1061">
        <v>70336.95</v>
      </c>
      <c r="F1061" t="s">
        <v>16</v>
      </c>
    </row>
    <row r="1062" spans="1:6">
      <c r="A1062" t="s">
        <v>1337</v>
      </c>
      <c r="B1062" t="s">
        <v>1998</v>
      </c>
      <c r="C1062" t="s">
        <v>1357</v>
      </c>
      <c r="D1062" s="1">
        <v>46253</v>
      </c>
      <c r="E1062">
        <v>51184.5</v>
      </c>
      <c r="F1062" t="s">
        <v>9</v>
      </c>
    </row>
    <row r="1063" spans="1:6">
      <c r="A1063" t="s">
        <v>1337</v>
      </c>
      <c r="B1063" t="s">
        <v>1999</v>
      </c>
      <c r="C1063" t="s">
        <v>2000</v>
      </c>
      <c r="D1063" s="1">
        <v>46253</v>
      </c>
      <c r="E1063">
        <v>1088400.78</v>
      </c>
      <c r="F1063" t="s">
        <v>26</v>
      </c>
    </row>
    <row r="1064" spans="1:6">
      <c r="A1064" t="s">
        <v>1337</v>
      </c>
      <c r="B1064" t="s">
        <v>2001</v>
      </c>
      <c r="C1064" t="s">
        <v>1285</v>
      </c>
      <c r="D1064" s="1">
        <v>46253</v>
      </c>
      <c r="E1064">
        <v>31178.78</v>
      </c>
      <c r="F1064" t="s">
        <v>16</v>
      </c>
    </row>
    <row r="1065" spans="1:6">
      <c r="A1065" t="s">
        <v>1337</v>
      </c>
      <c r="B1065" t="s">
        <v>2002</v>
      </c>
      <c r="C1065" t="s">
        <v>2003</v>
      </c>
      <c r="D1065" s="1">
        <v>46253</v>
      </c>
      <c r="E1065">
        <v>335059.68</v>
      </c>
      <c r="F1065" t="s">
        <v>9</v>
      </c>
    </row>
    <row r="1066" spans="1:6">
      <c r="A1066" t="s">
        <v>1337</v>
      </c>
      <c r="B1066" t="s">
        <v>2004</v>
      </c>
      <c r="C1066" t="s">
        <v>2005</v>
      </c>
      <c r="D1066" s="1">
        <v>46253</v>
      </c>
      <c r="E1066">
        <v>233976.68</v>
      </c>
      <c r="F1066" t="s">
        <v>26</v>
      </c>
    </row>
    <row r="1067" spans="1:6">
      <c r="A1067" t="s">
        <v>1337</v>
      </c>
      <c r="B1067" t="s">
        <v>2006</v>
      </c>
      <c r="C1067" t="s">
        <v>2007</v>
      </c>
      <c r="D1067" s="1">
        <v>46253</v>
      </c>
      <c r="E1067">
        <v>74194.240000000005</v>
      </c>
      <c r="F1067" t="s">
        <v>16</v>
      </c>
    </row>
    <row r="1068" spans="1:6">
      <c r="A1068" t="s">
        <v>1337</v>
      </c>
      <c r="B1068" t="s">
        <v>2008</v>
      </c>
      <c r="C1068" t="s">
        <v>2009</v>
      </c>
      <c r="D1068" s="1">
        <v>46253</v>
      </c>
      <c r="E1068">
        <v>23187.02</v>
      </c>
      <c r="F1068" t="s">
        <v>9</v>
      </c>
    </row>
    <row r="1069" spans="1:6">
      <c r="A1069" t="s">
        <v>1337</v>
      </c>
      <c r="B1069" t="s">
        <v>2010</v>
      </c>
      <c r="C1069" t="s">
        <v>2011</v>
      </c>
      <c r="D1069" s="1">
        <v>46253</v>
      </c>
      <c r="E1069">
        <v>866583.09</v>
      </c>
      <c r="F1069" t="s">
        <v>9</v>
      </c>
    </row>
    <row r="1070" spans="1:6">
      <c r="A1070" t="s">
        <v>1337</v>
      </c>
      <c r="B1070" t="s">
        <v>2012</v>
      </c>
      <c r="C1070" t="s">
        <v>2013</v>
      </c>
      <c r="D1070" s="1">
        <v>46253</v>
      </c>
      <c r="E1070">
        <v>16378.65</v>
      </c>
      <c r="F1070" t="s">
        <v>9</v>
      </c>
    </row>
    <row r="1071" spans="1:6">
      <c r="A1071" t="s">
        <v>1337</v>
      </c>
      <c r="B1071" t="s">
        <v>2014</v>
      </c>
      <c r="C1071" t="s">
        <v>2015</v>
      </c>
      <c r="D1071" s="1">
        <v>46253</v>
      </c>
      <c r="E1071">
        <v>50918.05</v>
      </c>
      <c r="F1071" t="s">
        <v>9</v>
      </c>
    </row>
    <row r="1072" spans="1:6">
      <c r="A1072" t="s">
        <v>1337</v>
      </c>
      <c r="B1072" t="s">
        <v>2016</v>
      </c>
      <c r="C1072" t="s">
        <v>2017</v>
      </c>
      <c r="D1072" s="1">
        <v>46253</v>
      </c>
      <c r="E1072">
        <v>136237.28</v>
      </c>
      <c r="F1072" t="s">
        <v>26</v>
      </c>
    </row>
    <row r="1073" spans="1:6">
      <c r="A1073" t="s">
        <v>1337</v>
      </c>
      <c r="B1073" t="s">
        <v>2018</v>
      </c>
      <c r="C1073" t="s">
        <v>2019</v>
      </c>
      <c r="D1073" s="1">
        <v>46253</v>
      </c>
      <c r="E1073">
        <v>19344.98</v>
      </c>
      <c r="F1073" t="s">
        <v>9</v>
      </c>
    </row>
    <row r="1074" spans="1:6">
      <c r="A1074" t="s">
        <v>1337</v>
      </c>
      <c r="B1074" t="s">
        <v>2020</v>
      </c>
      <c r="C1074" t="s">
        <v>2021</v>
      </c>
      <c r="D1074" s="1">
        <v>46253</v>
      </c>
      <c r="E1074">
        <v>191112.64</v>
      </c>
      <c r="F1074" t="s">
        <v>16</v>
      </c>
    </row>
    <row r="1075" spans="1:6">
      <c r="A1075" t="s">
        <v>1337</v>
      </c>
      <c r="B1075" t="s">
        <v>2022</v>
      </c>
      <c r="C1075" t="s">
        <v>2023</v>
      </c>
      <c r="D1075" s="1">
        <v>46254</v>
      </c>
      <c r="E1075">
        <v>56752.68</v>
      </c>
      <c r="F1075" t="s">
        <v>9</v>
      </c>
    </row>
    <row r="1076" spans="1:6">
      <c r="A1076" t="s">
        <v>1337</v>
      </c>
      <c r="B1076" t="s">
        <v>2024</v>
      </c>
      <c r="C1076" t="s">
        <v>2025</v>
      </c>
      <c r="D1076" s="1">
        <v>46254</v>
      </c>
      <c r="E1076">
        <v>185212.83</v>
      </c>
      <c r="F1076" t="s">
        <v>9</v>
      </c>
    </row>
    <row r="1077" spans="1:6">
      <c r="A1077" t="s">
        <v>1337</v>
      </c>
      <c r="B1077" t="s">
        <v>2026</v>
      </c>
      <c r="C1077" t="s">
        <v>1809</v>
      </c>
      <c r="D1077" s="1">
        <v>46254</v>
      </c>
      <c r="E1077">
        <v>7269.93</v>
      </c>
      <c r="F1077" t="s">
        <v>9</v>
      </c>
    </row>
    <row r="1078" spans="1:6">
      <c r="A1078" t="s">
        <v>1337</v>
      </c>
      <c r="B1078" t="s">
        <v>2027</v>
      </c>
      <c r="C1078" t="s">
        <v>592</v>
      </c>
      <c r="D1078" s="1">
        <v>46254</v>
      </c>
      <c r="E1078">
        <v>6029.25</v>
      </c>
      <c r="F1078" t="s">
        <v>26</v>
      </c>
    </row>
    <row r="1079" spans="1:6">
      <c r="A1079" t="s">
        <v>1337</v>
      </c>
      <c r="B1079" t="s">
        <v>2028</v>
      </c>
      <c r="C1079" t="s">
        <v>2029</v>
      </c>
      <c r="D1079" s="1">
        <v>46254</v>
      </c>
      <c r="E1079">
        <v>74308.78</v>
      </c>
      <c r="F1079" t="s">
        <v>9</v>
      </c>
    </row>
    <row r="1080" spans="1:6">
      <c r="A1080" t="s">
        <v>1337</v>
      </c>
      <c r="B1080" t="s">
        <v>2030</v>
      </c>
      <c r="C1080" t="s">
        <v>2031</v>
      </c>
      <c r="D1080" s="1">
        <v>46254</v>
      </c>
      <c r="E1080">
        <v>9445.11</v>
      </c>
      <c r="F1080" t="s">
        <v>26</v>
      </c>
    </row>
    <row r="1081" spans="1:6">
      <c r="A1081" t="s">
        <v>1337</v>
      </c>
      <c r="B1081" t="s">
        <v>2032</v>
      </c>
      <c r="C1081" t="s">
        <v>2033</v>
      </c>
      <c r="D1081" s="1">
        <v>46254</v>
      </c>
      <c r="E1081">
        <v>5816.54</v>
      </c>
      <c r="F1081" t="s">
        <v>9</v>
      </c>
    </row>
    <row r="1082" spans="1:6">
      <c r="A1082" t="s">
        <v>1337</v>
      </c>
      <c r="B1082" t="s">
        <v>2034</v>
      </c>
      <c r="C1082" t="s">
        <v>2035</v>
      </c>
      <c r="D1082" s="1">
        <v>46254</v>
      </c>
      <c r="E1082">
        <v>349819.29</v>
      </c>
      <c r="F1082" t="s">
        <v>16</v>
      </c>
    </row>
    <row r="1083" spans="1:6">
      <c r="A1083" t="s">
        <v>1337</v>
      </c>
      <c r="B1083" t="s">
        <v>2036</v>
      </c>
      <c r="C1083" t="s">
        <v>2037</v>
      </c>
      <c r="D1083" s="1">
        <v>46254</v>
      </c>
      <c r="E1083">
        <v>16922.61</v>
      </c>
      <c r="F1083" t="s">
        <v>9</v>
      </c>
    </row>
    <row r="1084" spans="1:6">
      <c r="A1084" t="s">
        <v>1337</v>
      </c>
      <c r="B1084" t="s">
        <v>2038</v>
      </c>
      <c r="C1084" t="s">
        <v>2039</v>
      </c>
      <c r="D1084" s="1">
        <v>46254</v>
      </c>
      <c r="E1084">
        <v>998545.23</v>
      </c>
      <c r="F1084" t="s">
        <v>26</v>
      </c>
    </row>
    <row r="1085" spans="1:6">
      <c r="A1085" t="s">
        <v>1337</v>
      </c>
      <c r="B1085" t="s">
        <v>2040</v>
      </c>
      <c r="C1085" t="s">
        <v>2041</v>
      </c>
      <c r="D1085" s="1">
        <v>46254</v>
      </c>
      <c r="E1085">
        <v>984283.07</v>
      </c>
      <c r="F1085" t="s">
        <v>16</v>
      </c>
    </row>
    <row r="1086" spans="1:6">
      <c r="A1086" t="s">
        <v>1337</v>
      </c>
      <c r="B1086" t="s">
        <v>2042</v>
      </c>
      <c r="C1086" t="s">
        <v>1235</v>
      </c>
      <c r="D1086" s="1">
        <v>46254</v>
      </c>
      <c r="E1086">
        <v>23912.799999999999</v>
      </c>
      <c r="F1086" t="s">
        <v>26</v>
      </c>
    </row>
    <row r="1087" spans="1:6">
      <c r="A1087" t="s">
        <v>1337</v>
      </c>
      <c r="B1087" t="s">
        <v>2043</v>
      </c>
      <c r="C1087" t="s">
        <v>1789</v>
      </c>
      <c r="D1087" s="1">
        <v>46254</v>
      </c>
      <c r="E1087">
        <v>2281.35</v>
      </c>
      <c r="F1087" t="s">
        <v>9</v>
      </c>
    </row>
    <row r="1088" spans="1:6">
      <c r="A1088" t="s">
        <v>1337</v>
      </c>
      <c r="B1088" t="s">
        <v>2044</v>
      </c>
      <c r="C1088" t="s">
        <v>2045</v>
      </c>
      <c r="D1088" s="1">
        <v>46254</v>
      </c>
      <c r="E1088">
        <v>22234.07</v>
      </c>
      <c r="F1088" t="s">
        <v>16</v>
      </c>
    </row>
    <row r="1089" spans="1:6">
      <c r="A1089" t="s">
        <v>1337</v>
      </c>
      <c r="B1089" t="s">
        <v>2046</v>
      </c>
      <c r="C1089" t="s">
        <v>2047</v>
      </c>
      <c r="D1089" s="1">
        <v>46254</v>
      </c>
      <c r="E1089">
        <v>10461.08</v>
      </c>
      <c r="F1089" t="s">
        <v>16</v>
      </c>
    </row>
    <row r="1090" spans="1:6">
      <c r="A1090" t="s">
        <v>1337</v>
      </c>
      <c r="B1090" t="s">
        <v>2048</v>
      </c>
      <c r="C1090" t="s">
        <v>2049</v>
      </c>
      <c r="D1090" s="1">
        <v>46254</v>
      </c>
      <c r="E1090">
        <v>24434.04</v>
      </c>
      <c r="F1090" t="s">
        <v>9</v>
      </c>
    </row>
    <row r="1091" spans="1:6">
      <c r="A1091" t="s">
        <v>1337</v>
      </c>
      <c r="B1091" t="s">
        <v>2050</v>
      </c>
      <c r="C1091" t="s">
        <v>2051</v>
      </c>
      <c r="D1091" s="1">
        <v>46254</v>
      </c>
      <c r="E1091">
        <v>36282.449999999997</v>
      </c>
      <c r="F1091" t="s">
        <v>16</v>
      </c>
    </row>
    <row r="1092" spans="1:6">
      <c r="A1092" t="s">
        <v>1337</v>
      </c>
      <c r="B1092" t="s">
        <v>2052</v>
      </c>
      <c r="C1092" t="s">
        <v>2053</v>
      </c>
      <c r="D1092" s="1">
        <v>46254</v>
      </c>
      <c r="E1092">
        <v>91770.79</v>
      </c>
      <c r="F1092" t="s">
        <v>26</v>
      </c>
    </row>
    <row r="1093" spans="1:6">
      <c r="A1093" t="s">
        <v>1337</v>
      </c>
      <c r="B1093" t="s">
        <v>2054</v>
      </c>
      <c r="C1093" t="s">
        <v>2055</v>
      </c>
      <c r="D1093" s="1">
        <v>46254</v>
      </c>
      <c r="E1093">
        <v>390208.66</v>
      </c>
      <c r="F1093" t="s">
        <v>16</v>
      </c>
    </row>
    <row r="1094" spans="1:6">
      <c r="A1094" t="s">
        <v>1337</v>
      </c>
      <c r="B1094" t="s">
        <v>2056</v>
      </c>
      <c r="C1094" t="s">
        <v>2057</v>
      </c>
      <c r="D1094" s="1">
        <v>46254</v>
      </c>
      <c r="E1094">
        <v>36585.19</v>
      </c>
      <c r="F1094" t="s">
        <v>26</v>
      </c>
    </row>
    <row r="1095" spans="1:6">
      <c r="A1095" t="s">
        <v>1337</v>
      </c>
      <c r="B1095" t="s">
        <v>2058</v>
      </c>
      <c r="C1095" t="s">
        <v>2059</v>
      </c>
      <c r="D1095" s="1">
        <v>46254</v>
      </c>
      <c r="E1095">
        <v>282593.86</v>
      </c>
      <c r="F1095" t="s">
        <v>26</v>
      </c>
    </row>
    <row r="1096" spans="1:6">
      <c r="A1096" t="s">
        <v>1337</v>
      </c>
      <c r="B1096" t="s">
        <v>2060</v>
      </c>
      <c r="C1096" t="s">
        <v>2061</v>
      </c>
      <c r="D1096" s="1">
        <v>46255</v>
      </c>
      <c r="E1096">
        <v>117960.61</v>
      </c>
      <c r="F1096" t="s">
        <v>16</v>
      </c>
    </row>
    <row r="1097" spans="1:6">
      <c r="A1097" t="s">
        <v>1337</v>
      </c>
      <c r="B1097" t="s">
        <v>2062</v>
      </c>
      <c r="C1097" t="s">
        <v>1032</v>
      </c>
      <c r="D1097" s="1">
        <v>46255</v>
      </c>
      <c r="E1097">
        <v>80518.66</v>
      </c>
      <c r="F1097" t="s">
        <v>9</v>
      </c>
    </row>
    <row r="1098" spans="1:6">
      <c r="A1098" t="s">
        <v>1337</v>
      </c>
      <c r="B1098" t="s">
        <v>2063</v>
      </c>
      <c r="C1098" t="s">
        <v>2064</v>
      </c>
      <c r="D1098" s="1">
        <v>46255</v>
      </c>
      <c r="E1098">
        <v>48048.92</v>
      </c>
      <c r="F1098" t="s">
        <v>9</v>
      </c>
    </row>
    <row r="1099" spans="1:6">
      <c r="A1099" t="s">
        <v>1337</v>
      </c>
      <c r="B1099" t="s">
        <v>2065</v>
      </c>
      <c r="C1099" t="s">
        <v>2066</v>
      </c>
      <c r="D1099" s="1">
        <v>46255</v>
      </c>
      <c r="E1099">
        <v>562515.16</v>
      </c>
      <c r="F1099" t="s">
        <v>9</v>
      </c>
    </row>
    <row r="1100" spans="1:6">
      <c r="A1100" t="s">
        <v>1337</v>
      </c>
      <c r="B1100" t="s">
        <v>2067</v>
      </c>
      <c r="C1100" t="s">
        <v>2033</v>
      </c>
      <c r="D1100" s="1">
        <v>46255</v>
      </c>
      <c r="E1100">
        <v>2616.9499999999998</v>
      </c>
      <c r="F1100" t="s">
        <v>26</v>
      </c>
    </row>
    <row r="1101" spans="1:6">
      <c r="A1101" t="s">
        <v>1337</v>
      </c>
      <c r="B1101" t="s">
        <v>2068</v>
      </c>
      <c r="C1101" t="s">
        <v>2069</v>
      </c>
      <c r="D1101" s="1">
        <v>46255</v>
      </c>
      <c r="E1101">
        <v>37810</v>
      </c>
      <c r="F1101" t="s">
        <v>9</v>
      </c>
    </row>
    <row r="1102" spans="1:6">
      <c r="A1102" t="s">
        <v>1337</v>
      </c>
      <c r="B1102" t="s">
        <v>2070</v>
      </c>
      <c r="C1102" t="s">
        <v>2071</v>
      </c>
      <c r="D1102" s="1">
        <v>46255</v>
      </c>
      <c r="E1102">
        <v>339695.69</v>
      </c>
      <c r="F1102" t="s">
        <v>9</v>
      </c>
    </row>
    <row r="1103" spans="1:6">
      <c r="A1103" t="s">
        <v>1337</v>
      </c>
      <c r="B1103" t="s">
        <v>2072</v>
      </c>
      <c r="C1103" t="s">
        <v>2073</v>
      </c>
      <c r="D1103" s="1">
        <v>46255</v>
      </c>
      <c r="E1103">
        <v>38186.720000000001</v>
      </c>
      <c r="F1103" t="s">
        <v>9</v>
      </c>
    </row>
    <row r="1104" spans="1:6">
      <c r="A1104" t="s">
        <v>1337</v>
      </c>
      <c r="B1104" t="s">
        <v>2074</v>
      </c>
      <c r="C1104" t="s">
        <v>2075</v>
      </c>
      <c r="D1104" s="1">
        <v>46255</v>
      </c>
      <c r="E1104">
        <v>2000000</v>
      </c>
      <c r="F1104" t="s">
        <v>9</v>
      </c>
    </row>
    <row r="1105" spans="1:6">
      <c r="A1105" t="s">
        <v>1337</v>
      </c>
      <c r="B1105" t="s">
        <v>2076</v>
      </c>
      <c r="C1105" t="s">
        <v>2077</v>
      </c>
      <c r="D1105" s="1">
        <v>46255</v>
      </c>
      <c r="E1105">
        <v>180147.88</v>
      </c>
      <c r="F1105" t="s">
        <v>16</v>
      </c>
    </row>
    <row r="1106" spans="1:6">
      <c r="A1106" t="s">
        <v>1337</v>
      </c>
      <c r="B1106" t="s">
        <v>2078</v>
      </c>
      <c r="C1106" t="s">
        <v>2079</v>
      </c>
      <c r="D1106" s="1">
        <v>46255</v>
      </c>
      <c r="E1106">
        <v>109638.7</v>
      </c>
      <c r="F1106" t="s">
        <v>9</v>
      </c>
    </row>
    <row r="1107" spans="1:6">
      <c r="A1107" t="s">
        <v>1337</v>
      </c>
      <c r="B1107" t="s">
        <v>2080</v>
      </c>
      <c r="C1107" t="s">
        <v>2081</v>
      </c>
      <c r="D1107" s="1">
        <v>46255</v>
      </c>
      <c r="E1107">
        <v>66386.02</v>
      </c>
      <c r="F1107" t="s">
        <v>26</v>
      </c>
    </row>
    <row r="1108" spans="1:6">
      <c r="A1108" t="s">
        <v>1337</v>
      </c>
      <c r="B1108" t="s">
        <v>2082</v>
      </c>
      <c r="C1108" t="s">
        <v>2083</v>
      </c>
      <c r="D1108" s="1">
        <v>46255</v>
      </c>
      <c r="E1108">
        <v>156379.76</v>
      </c>
      <c r="F1108" t="s">
        <v>9</v>
      </c>
    </row>
    <row r="1109" spans="1:6">
      <c r="A1109" t="s">
        <v>1337</v>
      </c>
      <c r="B1109" t="s">
        <v>2084</v>
      </c>
      <c r="C1109" t="s">
        <v>2085</v>
      </c>
      <c r="D1109" s="1">
        <v>46255</v>
      </c>
      <c r="E1109">
        <v>107573.15</v>
      </c>
      <c r="F1109" t="s">
        <v>9</v>
      </c>
    </row>
    <row r="1110" spans="1:6">
      <c r="A1110" t="s">
        <v>1337</v>
      </c>
      <c r="B1110" t="s">
        <v>2086</v>
      </c>
      <c r="C1110" t="s">
        <v>2087</v>
      </c>
      <c r="D1110" s="1">
        <v>46255</v>
      </c>
      <c r="E1110">
        <v>60811.21</v>
      </c>
      <c r="F1110" t="s">
        <v>26</v>
      </c>
    </row>
    <row r="1111" spans="1:6">
      <c r="A1111" t="s">
        <v>1337</v>
      </c>
      <c r="B1111" t="s">
        <v>2088</v>
      </c>
      <c r="C1111" t="s">
        <v>2089</v>
      </c>
      <c r="D1111" s="1">
        <v>46255</v>
      </c>
      <c r="E1111">
        <v>70497.64</v>
      </c>
      <c r="F1111" t="s">
        <v>16</v>
      </c>
    </row>
    <row r="1112" spans="1:6">
      <c r="A1112" t="s">
        <v>1337</v>
      </c>
      <c r="B1112" t="s">
        <v>2090</v>
      </c>
      <c r="C1112" t="s">
        <v>2091</v>
      </c>
      <c r="D1112" s="1">
        <v>46255</v>
      </c>
      <c r="E1112">
        <v>65146.27</v>
      </c>
      <c r="F1112" t="s">
        <v>16</v>
      </c>
    </row>
    <row r="1113" spans="1:6">
      <c r="A1113" t="s">
        <v>1337</v>
      </c>
      <c r="B1113" t="s">
        <v>2092</v>
      </c>
      <c r="C1113" t="s">
        <v>2093</v>
      </c>
      <c r="D1113" s="1">
        <v>46255</v>
      </c>
      <c r="E1113">
        <v>151254.04999999999</v>
      </c>
      <c r="F1113" t="s">
        <v>9</v>
      </c>
    </row>
    <row r="1114" spans="1:6">
      <c r="A1114" t="s">
        <v>1337</v>
      </c>
      <c r="B1114" t="s">
        <v>2094</v>
      </c>
      <c r="C1114" t="s">
        <v>2095</v>
      </c>
      <c r="D1114" s="1">
        <v>46255</v>
      </c>
      <c r="E1114">
        <v>9550.4699999999993</v>
      </c>
      <c r="F1114" t="s">
        <v>9</v>
      </c>
    </row>
    <row r="1115" spans="1:6">
      <c r="A1115" t="s">
        <v>1337</v>
      </c>
      <c r="B1115" t="s">
        <v>2096</v>
      </c>
      <c r="C1115" t="s">
        <v>2097</v>
      </c>
      <c r="D1115" s="1">
        <v>46255</v>
      </c>
      <c r="E1115">
        <v>21746.17</v>
      </c>
      <c r="F1115" t="s">
        <v>9</v>
      </c>
    </row>
    <row r="1116" spans="1:6">
      <c r="A1116" t="s">
        <v>1337</v>
      </c>
      <c r="B1116" t="s">
        <v>2098</v>
      </c>
      <c r="C1116" t="s">
        <v>2099</v>
      </c>
      <c r="D1116" s="1">
        <v>46255</v>
      </c>
      <c r="E1116">
        <v>26945.18</v>
      </c>
      <c r="F1116" t="s">
        <v>9</v>
      </c>
    </row>
    <row r="1117" spans="1:6">
      <c r="A1117" t="s">
        <v>1337</v>
      </c>
      <c r="B1117" t="s">
        <v>2100</v>
      </c>
      <c r="C1117" t="s">
        <v>2101</v>
      </c>
      <c r="D1117" s="1">
        <v>46255</v>
      </c>
      <c r="E1117">
        <v>207701.82</v>
      </c>
      <c r="F1117" t="s">
        <v>16</v>
      </c>
    </row>
    <row r="1118" spans="1:6">
      <c r="A1118" t="s">
        <v>1337</v>
      </c>
      <c r="B1118" t="s">
        <v>2102</v>
      </c>
      <c r="C1118" t="s">
        <v>2103</v>
      </c>
      <c r="D1118" s="1">
        <v>46255</v>
      </c>
      <c r="E1118">
        <v>209640.64</v>
      </c>
      <c r="F1118" t="s">
        <v>9</v>
      </c>
    </row>
    <row r="1119" spans="1:6">
      <c r="A1119" t="s">
        <v>1337</v>
      </c>
      <c r="B1119" t="s">
        <v>2104</v>
      </c>
      <c r="C1119" t="s">
        <v>2105</v>
      </c>
      <c r="D1119" s="1">
        <v>46256</v>
      </c>
      <c r="E1119">
        <v>62723.88</v>
      </c>
      <c r="F1119" t="s">
        <v>16</v>
      </c>
    </row>
    <row r="1120" spans="1:6">
      <c r="A1120" t="s">
        <v>1337</v>
      </c>
      <c r="B1120" t="s">
        <v>2106</v>
      </c>
      <c r="C1120" t="s">
        <v>2107</v>
      </c>
      <c r="D1120" s="1">
        <v>46256</v>
      </c>
      <c r="E1120">
        <v>179146.39</v>
      </c>
      <c r="F1120" t="s">
        <v>16</v>
      </c>
    </row>
    <row r="1121" spans="1:6">
      <c r="A1121" t="s">
        <v>1337</v>
      </c>
      <c r="B1121" t="s">
        <v>2108</v>
      </c>
      <c r="C1121" t="s">
        <v>2109</v>
      </c>
      <c r="D1121" s="1">
        <v>46256</v>
      </c>
      <c r="E1121">
        <v>279756.88</v>
      </c>
      <c r="F1121" t="s">
        <v>9</v>
      </c>
    </row>
    <row r="1122" spans="1:6">
      <c r="A1122" t="s">
        <v>1337</v>
      </c>
      <c r="B1122" t="s">
        <v>2110</v>
      </c>
      <c r="C1122" t="s">
        <v>2111</v>
      </c>
      <c r="D1122" s="1">
        <v>46256</v>
      </c>
      <c r="E1122">
        <v>65487.42</v>
      </c>
      <c r="F1122" t="s">
        <v>9</v>
      </c>
    </row>
    <row r="1123" spans="1:6">
      <c r="A1123" t="s">
        <v>1337</v>
      </c>
      <c r="B1123" t="s">
        <v>2112</v>
      </c>
      <c r="C1123" t="s">
        <v>2113</v>
      </c>
      <c r="D1123" s="1">
        <v>46256</v>
      </c>
      <c r="E1123">
        <v>42784.04</v>
      </c>
      <c r="F1123" t="s">
        <v>16</v>
      </c>
    </row>
    <row r="1124" spans="1:6">
      <c r="A1124" t="s">
        <v>1337</v>
      </c>
      <c r="B1124" t="s">
        <v>2114</v>
      </c>
      <c r="C1124" t="s">
        <v>2115</v>
      </c>
      <c r="D1124" s="1">
        <v>46256</v>
      </c>
      <c r="E1124">
        <v>5000</v>
      </c>
      <c r="F1124" t="s">
        <v>16</v>
      </c>
    </row>
    <row r="1125" spans="1:6">
      <c r="A1125" t="s">
        <v>1337</v>
      </c>
      <c r="B1125" t="s">
        <v>2116</v>
      </c>
      <c r="C1125" t="s">
        <v>2117</v>
      </c>
      <c r="D1125" s="1">
        <v>46256</v>
      </c>
      <c r="E1125">
        <v>31702.79</v>
      </c>
      <c r="F1125" t="s">
        <v>16</v>
      </c>
    </row>
    <row r="1126" spans="1:6">
      <c r="A1126" t="s">
        <v>1337</v>
      </c>
      <c r="B1126" t="s">
        <v>2118</v>
      </c>
      <c r="C1126" t="s">
        <v>2119</v>
      </c>
      <c r="D1126" s="1">
        <v>46256</v>
      </c>
      <c r="E1126">
        <v>173685.65</v>
      </c>
      <c r="F1126" t="s">
        <v>9</v>
      </c>
    </row>
    <row r="1127" spans="1:6">
      <c r="A1127" t="s">
        <v>1337</v>
      </c>
      <c r="B1127" t="s">
        <v>2120</v>
      </c>
      <c r="C1127" t="s">
        <v>2121</v>
      </c>
      <c r="D1127" s="1">
        <v>46256</v>
      </c>
      <c r="E1127">
        <v>59032.88</v>
      </c>
      <c r="F1127" t="s">
        <v>9</v>
      </c>
    </row>
    <row r="1128" spans="1:6">
      <c r="A1128" t="s">
        <v>1337</v>
      </c>
      <c r="B1128" t="s">
        <v>2122</v>
      </c>
      <c r="C1128" t="s">
        <v>2123</v>
      </c>
      <c r="D1128" s="1">
        <v>46256</v>
      </c>
      <c r="E1128">
        <v>75870.289999999994</v>
      </c>
      <c r="F1128" t="s">
        <v>9</v>
      </c>
    </row>
    <row r="1129" spans="1:6">
      <c r="A1129" t="s">
        <v>1337</v>
      </c>
      <c r="B1129" t="s">
        <v>2124</v>
      </c>
      <c r="C1129" t="s">
        <v>1349</v>
      </c>
      <c r="D1129" s="1">
        <v>46256</v>
      </c>
      <c r="E1129">
        <v>8420.2999999999993</v>
      </c>
      <c r="F1129" t="s">
        <v>26</v>
      </c>
    </row>
    <row r="1130" spans="1:6">
      <c r="A1130" t="s">
        <v>1337</v>
      </c>
      <c r="B1130" t="s">
        <v>2125</v>
      </c>
      <c r="C1130" t="s">
        <v>2037</v>
      </c>
      <c r="D1130" s="1">
        <v>46256</v>
      </c>
      <c r="E1130">
        <v>18086.97</v>
      </c>
      <c r="F1130" t="s">
        <v>16</v>
      </c>
    </row>
    <row r="1131" spans="1:6">
      <c r="A1131" t="s">
        <v>1337</v>
      </c>
      <c r="B1131" t="s">
        <v>2126</v>
      </c>
      <c r="C1131" t="s">
        <v>2127</v>
      </c>
      <c r="D1131" s="1">
        <v>46256</v>
      </c>
      <c r="E1131">
        <v>225708.19</v>
      </c>
      <c r="F1131" t="s">
        <v>9</v>
      </c>
    </row>
    <row r="1132" spans="1:6">
      <c r="A1132" t="s">
        <v>1337</v>
      </c>
      <c r="B1132" t="s">
        <v>2128</v>
      </c>
      <c r="C1132" t="s">
        <v>2129</v>
      </c>
      <c r="D1132" s="1">
        <v>46256</v>
      </c>
      <c r="E1132">
        <v>227159.17</v>
      </c>
      <c r="F1132" t="s">
        <v>9</v>
      </c>
    </row>
    <row r="1133" spans="1:6">
      <c r="A1133" t="s">
        <v>1337</v>
      </c>
      <c r="B1133" t="s">
        <v>2130</v>
      </c>
      <c r="C1133" t="s">
        <v>2131</v>
      </c>
      <c r="D1133" s="1">
        <v>46256</v>
      </c>
      <c r="E1133">
        <v>52910.04</v>
      </c>
      <c r="F1133" t="s">
        <v>9</v>
      </c>
    </row>
    <row r="1134" spans="1:6">
      <c r="A1134" t="s">
        <v>1337</v>
      </c>
      <c r="B1134" t="s">
        <v>2132</v>
      </c>
      <c r="C1134" t="s">
        <v>2133</v>
      </c>
      <c r="D1134" s="1">
        <v>46256</v>
      </c>
      <c r="E1134">
        <v>405359.83</v>
      </c>
      <c r="F1134" t="s">
        <v>9</v>
      </c>
    </row>
    <row r="1135" spans="1:6">
      <c r="A1135" t="s">
        <v>1337</v>
      </c>
      <c r="B1135" t="s">
        <v>2134</v>
      </c>
      <c r="C1135" t="s">
        <v>2135</v>
      </c>
      <c r="D1135" s="1">
        <v>46256</v>
      </c>
      <c r="E1135">
        <v>7847.4</v>
      </c>
      <c r="F1135" t="s">
        <v>16</v>
      </c>
    </row>
    <row r="1136" spans="1:6">
      <c r="A1136" t="s">
        <v>1337</v>
      </c>
      <c r="B1136" t="s">
        <v>2136</v>
      </c>
      <c r="C1136" t="s">
        <v>1618</v>
      </c>
      <c r="D1136" s="1">
        <v>46256</v>
      </c>
      <c r="E1136">
        <v>50782.53</v>
      </c>
      <c r="F1136" t="s">
        <v>9</v>
      </c>
    </row>
    <row r="1137" spans="1:6">
      <c r="A1137" t="s">
        <v>1337</v>
      </c>
      <c r="B1137" t="s">
        <v>2137</v>
      </c>
      <c r="C1137" t="s">
        <v>2138</v>
      </c>
      <c r="D1137" s="1">
        <v>46256</v>
      </c>
      <c r="E1137">
        <v>5000</v>
      </c>
      <c r="F1137" t="s">
        <v>9</v>
      </c>
    </row>
    <row r="1138" spans="1:6">
      <c r="A1138" t="s">
        <v>1337</v>
      </c>
      <c r="B1138" t="s">
        <v>2139</v>
      </c>
      <c r="C1138" t="s">
        <v>2140</v>
      </c>
      <c r="D1138" s="1">
        <v>46256</v>
      </c>
      <c r="E1138">
        <v>163973.78</v>
      </c>
      <c r="F1138" t="s">
        <v>26</v>
      </c>
    </row>
    <row r="1139" spans="1:6">
      <c r="A1139" t="s">
        <v>1337</v>
      </c>
      <c r="B1139" t="s">
        <v>2141</v>
      </c>
      <c r="C1139" t="s">
        <v>2142</v>
      </c>
      <c r="D1139" s="1">
        <v>46257</v>
      </c>
      <c r="E1139">
        <v>1397143.66</v>
      </c>
      <c r="F1139" t="s">
        <v>9</v>
      </c>
    </row>
    <row r="1140" spans="1:6">
      <c r="A1140" t="s">
        <v>1337</v>
      </c>
      <c r="B1140" t="s">
        <v>2143</v>
      </c>
      <c r="C1140" t="s">
        <v>743</v>
      </c>
      <c r="D1140" s="1">
        <v>46257</v>
      </c>
      <c r="E1140">
        <v>26794.27</v>
      </c>
      <c r="F1140" t="s">
        <v>9</v>
      </c>
    </row>
    <row r="1141" spans="1:6">
      <c r="A1141" t="s">
        <v>1337</v>
      </c>
      <c r="B1141" t="s">
        <v>2144</v>
      </c>
      <c r="C1141" t="s">
        <v>2145</v>
      </c>
      <c r="D1141" s="1">
        <v>46257</v>
      </c>
      <c r="E1141">
        <v>29053.65</v>
      </c>
      <c r="F1141" t="s">
        <v>9</v>
      </c>
    </row>
    <row r="1142" spans="1:6">
      <c r="A1142" t="s">
        <v>1337</v>
      </c>
      <c r="B1142" t="s">
        <v>2146</v>
      </c>
      <c r="C1142" t="s">
        <v>2147</v>
      </c>
      <c r="D1142" s="1">
        <v>46257</v>
      </c>
      <c r="E1142">
        <v>484926.36</v>
      </c>
      <c r="F1142" t="s">
        <v>26</v>
      </c>
    </row>
    <row r="1143" spans="1:6">
      <c r="A1143" t="s">
        <v>1337</v>
      </c>
      <c r="B1143" t="s">
        <v>2148</v>
      </c>
      <c r="C1143" t="s">
        <v>2149</v>
      </c>
      <c r="D1143" s="1">
        <v>46257</v>
      </c>
      <c r="E1143">
        <v>226780.92</v>
      </c>
      <c r="F1143" t="s">
        <v>16</v>
      </c>
    </row>
    <row r="1144" spans="1:6">
      <c r="A1144" t="s">
        <v>1337</v>
      </c>
      <c r="B1144" t="s">
        <v>2150</v>
      </c>
      <c r="C1144" t="s">
        <v>2151</v>
      </c>
      <c r="D1144" s="1">
        <v>46257</v>
      </c>
      <c r="E1144">
        <v>250121.07</v>
      </c>
      <c r="F1144" t="s">
        <v>9</v>
      </c>
    </row>
    <row r="1145" spans="1:6">
      <c r="A1145" t="s">
        <v>1337</v>
      </c>
      <c r="B1145" t="s">
        <v>2152</v>
      </c>
      <c r="C1145" t="s">
        <v>2031</v>
      </c>
      <c r="D1145" s="1">
        <v>46257</v>
      </c>
      <c r="E1145">
        <v>6070.65</v>
      </c>
      <c r="F1145" t="s">
        <v>9</v>
      </c>
    </row>
    <row r="1146" spans="1:6">
      <c r="A1146" t="s">
        <v>1337</v>
      </c>
      <c r="B1146" t="s">
        <v>2153</v>
      </c>
      <c r="C1146" t="s">
        <v>1702</v>
      </c>
      <c r="D1146" s="1">
        <v>46257</v>
      </c>
      <c r="E1146">
        <v>297330.09000000003</v>
      </c>
      <c r="F1146" t="s">
        <v>9</v>
      </c>
    </row>
    <row r="1147" spans="1:6">
      <c r="A1147" t="s">
        <v>1337</v>
      </c>
      <c r="B1147" t="s">
        <v>2154</v>
      </c>
      <c r="C1147" t="s">
        <v>2155</v>
      </c>
      <c r="D1147" s="1">
        <v>46257</v>
      </c>
      <c r="E1147">
        <v>64129.14</v>
      </c>
      <c r="F1147" t="s">
        <v>16</v>
      </c>
    </row>
    <row r="1148" spans="1:6">
      <c r="A1148" t="s">
        <v>1337</v>
      </c>
      <c r="B1148" t="s">
        <v>2156</v>
      </c>
      <c r="C1148" t="s">
        <v>1262</v>
      </c>
      <c r="D1148" s="1">
        <v>46257</v>
      </c>
      <c r="E1148">
        <v>11153.1</v>
      </c>
      <c r="F1148" t="s">
        <v>9</v>
      </c>
    </row>
    <row r="1149" spans="1:6">
      <c r="A1149" t="s">
        <v>1337</v>
      </c>
      <c r="B1149" t="s">
        <v>2157</v>
      </c>
      <c r="C1149" t="s">
        <v>1575</v>
      </c>
      <c r="D1149" s="1">
        <v>46257</v>
      </c>
      <c r="E1149">
        <v>21177.11</v>
      </c>
      <c r="F1149" t="s">
        <v>26</v>
      </c>
    </row>
    <row r="1150" spans="1:6">
      <c r="A1150" t="s">
        <v>1337</v>
      </c>
      <c r="B1150" t="s">
        <v>2158</v>
      </c>
      <c r="C1150" t="s">
        <v>2159</v>
      </c>
      <c r="D1150" s="1">
        <v>46257</v>
      </c>
      <c r="E1150">
        <v>36128.57</v>
      </c>
      <c r="F1150" t="s">
        <v>9</v>
      </c>
    </row>
    <row r="1151" spans="1:6">
      <c r="A1151" t="s">
        <v>1337</v>
      </c>
      <c r="B1151" t="s">
        <v>2160</v>
      </c>
      <c r="C1151" t="s">
        <v>2161</v>
      </c>
      <c r="D1151" s="1">
        <v>46257</v>
      </c>
      <c r="E1151">
        <v>328119.59999999998</v>
      </c>
      <c r="F1151" t="s">
        <v>9</v>
      </c>
    </row>
    <row r="1152" spans="1:6">
      <c r="A1152" t="s">
        <v>1337</v>
      </c>
      <c r="B1152" t="s">
        <v>2162</v>
      </c>
      <c r="C1152" t="s">
        <v>1611</v>
      </c>
      <c r="D1152" s="1">
        <v>46257</v>
      </c>
      <c r="E1152">
        <v>7077.03</v>
      </c>
      <c r="F1152" t="s">
        <v>26</v>
      </c>
    </row>
    <row r="1153" spans="1:6">
      <c r="A1153" t="s">
        <v>1337</v>
      </c>
      <c r="B1153" t="s">
        <v>2163</v>
      </c>
      <c r="C1153" t="s">
        <v>2164</v>
      </c>
      <c r="D1153" s="1">
        <v>46257</v>
      </c>
      <c r="E1153">
        <v>74822.570000000007</v>
      </c>
      <c r="F1153" t="s">
        <v>9</v>
      </c>
    </row>
    <row r="1154" spans="1:6">
      <c r="A1154" t="s">
        <v>1337</v>
      </c>
      <c r="B1154" t="s">
        <v>2165</v>
      </c>
      <c r="C1154" t="s">
        <v>2166</v>
      </c>
      <c r="D1154" s="1">
        <v>46257</v>
      </c>
      <c r="E1154">
        <v>162066.34</v>
      </c>
      <c r="F1154" t="s">
        <v>9</v>
      </c>
    </row>
    <row r="1155" spans="1:6">
      <c r="A1155" t="s">
        <v>1337</v>
      </c>
      <c r="B1155" t="s">
        <v>2167</v>
      </c>
      <c r="C1155" t="s">
        <v>2168</v>
      </c>
      <c r="D1155" s="1">
        <v>46257</v>
      </c>
      <c r="E1155">
        <v>122472.19</v>
      </c>
      <c r="F1155" t="s">
        <v>16</v>
      </c>
    </row>
    <row r="1156" spans="1:6">
      <c r="A1156" t="s">
        <v>1337</v>
      </c>
      <c r="B1156" t="s">
        <v>2169</v>
      </c>
      <c r="C1156" t="s">
        <v>2170</v>
      </c>
      <c r="D1156" s="1">
        <v>46257</v>
      </c>
      <c r="E1156">
        <v>36239.339999999997</v>
      </c>
      <c r="F1156" t="s">
        <v>26</v>
      </c>
    </row>
    <row r="1157" spans="1:6">
      <c r="A1157" t="s">
        <v>1337</v>
      </c>
      <c r="B1157" t="s">
        <v>2171</v>
      </c>
      <c r="C1157" t="s">
        <v>2172</v>
      </c>
      <c r="D1157" s="1">
        <v>46257</v>
      </c>
      <c r="E1157">
        <v>362944.23</v>
      </c>
      <c r="F1157" t="s">
        <v>9</v>
      </c>
    </row>
    <row r="1158" spans="1:6">
      <c r="A1158" t="s">
        <v>1337</v>
      </c>
      <c r="B1158" t="s">
        <v>2173</v>
      </c>
      <c r="C1158" t="s">
        <v>2174</v>
      </c>
      <c r="D1158" s="1">
        <v>46257</v>
      </c>
      <c r="E1158">
        <v>69560.08</v>
      </c>
      <c r="F1158" t="s">
        <v>9</v>
      </c>
    </row>
    <row r="1159" spans="1:6">
      <c r="A1159" t="s">
        <v>1337</v>
      </c>
      <c r="B1159" t="s">
        <v>2175</v>
      </c>
      <c r="C1159" t="s">
        <v>1041</v>
      </c>
      <c r="D1159" s="1">
        <v>46258</v>
      </c>
      <c r="E1159">
        <v>92496.3</v>
      </c>
      <c r="F1159" t="s">
        <v>9</v>
      </c>
    </row>
    <row r="1160" spans="1:6">
      <c r="A1160" t="s">
        <v>1337</v>
      </c>
      <c r="B1160" t="s">
        <v>2176</v>
      </c>
      <c r="C1160" t="s">
        <v>2177</v>
      </c>
      <c r="D1160" s="1">
        <v>46258</v>
      </c>
      <c r="E1160">
        <v>66351.39</v>
      </c>
      <c r="F1160" t="s">
        <v>26</v>
      </c>
    </row>
    <row r="1161" spans="1:6">
      <c r="A1161" t="s">
        <v>1337</v>
      </c>
      <c r="B1161" t="s">
        <v>2178</v>
      </c>
      <c r="C1161" t="s">
        <v>2179</v>
      </c>
      <c r="D1161" s="1">
        <v>46258</v>
      </c>
      <c r="E1161">
        <v>34585.019999999997</v>
      </c>
      <c r="F1161" t="s">
        <v>26</v>
      </c>
    </row>
    <row r="1162" spans="1:6">
      <c r="A1162" t="s">
        <v>1337</v>
      </c>
      <c r="B1162" t="s">
        <v>2180</v>
      </c>
      <c r="C1162" t="s">
        <v>2181</v>
      </c>
      <c r="D1162" s="1">
        <v>46258</v>
      </c>
      <c r="E1162">
        <v>304742.81</v>
      </c>
      <c r="F1162" t="s">
        <v>26</v>
      </c>
    </row>
    <row r="1163" spans="1:6">
      <c r="A1163" t="s">
        <v>1337</v>
      </c>
      <c r="B1163" t="s">
        <v>2182</v>
      </c>
      <c r="C1163" t="s">
        <v>1809</v>
      </c>
      <c r="D1163" s="1">
        <v>46258</v>
      </c>
      <c r="E1163">
        <v>3342.14</v>
      </c>
      <c r="F1163" t="s">
        <v>9</v>
      </c>
    </row>
    <row r="1164" spans="1:6">
      <c r="A1164" t="s">
        <v>1337</v>
      </c>
      <c r="B1164" t="s">
        <v>2183</v>
      </c>
      <c r="C1164" t="s">
        <v>2184</v>
      </c>
      <c r="D1164" s="1">
        <v>46258</v>
      </c>
      <c r="E1164">
        <v>248686.84</v>
      </c>
      <c r="F1164" t="s">
        <v>9</v>
      </c>
    </row>
    <row r="1165" spans="1:6">
      <c r="A1165" t="s">
        <v>1337</v>
      </c>
      <c r="B1165" t="s">
        <v>2185</v>
      </c>
      <c r="C1165" t="s">
        <v>2186</v>
      </c>
      <c r="D1165" s="1">
        <v>46258</v>
      </c>
      <c r="E1165">
        <v>120274.05</v>
      </c>
      <c r="F1165" t="s">
        <v>9</v>
      </c>
    </row>
    <row r="1166" spans="1:6">
      <c r="A1166" t="s">
        <v>1337</v>
      </c>
      <c r="B1166" t="s">
        <v>2187</v>
      </c>
      <c r="C1166" t="s">
        <v>2188</v>
      </c>
      <c r="D1166" s="1">
        <v>46258</v>
      </c>
      <c r="E1166">
        <v>58226.27</v>
      </c>
      <c r="F1166" t="s">
        <v>9</v>
      </c>
    </row>
    <row r="1167" spans="1:6">
      <c r="A1167" t="s">
        <v>1337</v>
      </c>
      <c r="B1167" t="s">
        <v>2189</v>
      </c>
      <c r="C1167" t="s">
        <v>942</v>
      </c>
      <c r="D1167" s="1">
        <v>46258</v>
      </c>
      <c r="E1167">
        <v>67621.759999999995</v>
      </c>
      <c r="F1167" t="s">
        <v>9</v>
      </c>
    </row>
    <row r="1168" spans="1:6">
      <c r="A1168" t="s">
        <v>1337</v>
      </c>
      <c r="B1168" t="s">
        <v>2190</v>
      </c>
      <c r="C1168" t="s">
        <v>2191</v>
      </c>
      <c r="D1168" s="1">
        <v>46258</v>
      </c>
      <c r="E1168">
        <v>392289.27</v>
      </c>
      <c r="F1168" t="s">
        <v>16</v>
      </c>
    </row>
    <row r="1169" spans="1:6">
      <c r="A1169" t="s">
        <v>1337</v>
      </c>
      <c r="B1169" t="s">
        <v>2192</v>
      </c>
      <c r="C1169" t="s">
        <v>2193</v>
      </c>
      <c r="D1169" s="1">
        <v>46258</v>
      </c>
      <c r="E1169">
        <v>2000000</v>
      </c>
      <c r="F1169" t="s">
        <v>26</v>
      </c>
    </row>
    <row r="1170" spans="1:6">
      <c r="A1170" t="s">
        <v>1337</v>
      </c>
      <c r="B1170" t="s">
        <v>2194</v>
      </c>
      <c r="C1170" t="s">
        <v>2195</v>
      </c>
      <c r="D1170" s="1">
        <v>46258</v>
      </c>
      <c r="E1170">
        <v>15835.27</v>
      </c>
      <c r="F1170" t="s">
        <v>26</v>
      </c>
    </row>
    <row r="1171" spans="1:6">
      <c r="A1171" t="s">
        <v>1337</v>
      </c>
      <c r="B1171" t="s">
        <v>2196</v>
      </c>
      <c r="C1171" t="s">
        <v>1239</v>
      </c>
      <c r="D1171" s="1">
        <v>46258</v>
      </c>
      <c r="E1171">
        <v>14684.52</v>
      </c>
      <c r="F1171" t="s">
        <v>26</v>
      </c>
    </row>
    <row r="1172" spans="1:6">
      <c r="A1172" t="s">
        <v>1337</v>
      </c>
      <c r="B1172" t="s">
        <v>2197</v>
      </c>
      <c r="C1172" t="s">
        <v>2198</v>
      </c>
      <c r="D1172" s="1">
        <v>46258</v>
      </c>
      <c r="E1172">
        <v>360577.97</v>
      </c>
      <c r="F1172" t="s">
        <v>9</v>
      </c>
    </row>
    <row r="1173" spans="1:6">
      <c r="A1173" t="s">
        <v>1337</v>
      </c>
      <c r="B1173" t="s">
        <v>2199</v>
      </c>
      <c r="C1173" t="s">
        <v>2200</v>
      </c>
      <c r="D1173" s="1">
        <v>46258</v>
      </c>
      <c r="E1173">
        <v>57634.15</v>
      </c>
      <c r="F1173" t="s">
        <v>9</v>
      </c>
    </row>
    <row r="1174" spans="1:6">
      <c r="A1174" t="s">
        <v>1337</v>
      </c>
      <c r="B1174" t="s">
        <v>2201</v>
      </c>
      <c r="C1174" t="s">
        <v>2202</v>
      </c>
      <c r="D1174" s="1">
        <v>46258</v>
      </c>
      <c r="E1174">
        <v>22299.42</v>
      </c>
      <c r="F1174" t="s">
        <v>26</v>
      </c>
    </row>
    <row r="1175" spans="1:6">
      <c r="A1175" t="s">
        <v>1337</v>
      </c>
      <c r="B1175" t="s">
        <v>2203</v>
      </c>
      <c r="C1175" t="s">
        <v>2204</v>
      </c>
      <c r="D1175" s="1">
        <v>46258</v>
      </c>
      <c r="E1175">
        <v>441197.27</v>
      </c>
      <c r="F1175" t="s">
        <v>26</v>
      </c>
    </row>
    <row r="1176" spans="1:6">
      <c r="A1176" t="s">
        <v>1337</v>
      </c>
      <c r="B1176" t="s">
        <v>2205</v>
      </c>
      <c r="C1176" t="s">
        <v>2206</v>
      </c>
      <c r="D1176" s="1">
        <v>46258</v>
      </c>
      <c r="E1176">
        <v>134175.16</v>
      </c>
      <c r="F1176" t="s">
        <v>26</v>
      </c>
    </row>
    <row r="1177" spans="1:6">
      <c r="A1177" t="s">
        <v>1337</v>
      </c>
      <c r="B1177" t="s">
        <v>2207</v>
      </c>
      <c r="C1177" t="s">
        <v>2208</v>
      </c>
      <c r="D1177" s="1">
        <v>46258</v>
      </c>
      <c r="E1177">
        <v>59032.56</v>
      </c>
      <c r="F1177" t="s">
        <v>16</v>
      </c>
    </row>
    <row r="1178" spans="1:6">
      <c r="A1178" t="s">
        <v>1337</v>
      </c>
      <c r="B1178" t="s">
        <v>2209</v>
      </c>
      <c r="C1178" t="s">
        <v>1830</v>
      </c>
      <c r="D1178" s="1">
        <v>46258</v>
      </c>
      <c r="E1178">
        <v>152873.74</v>
      </c>
      <c r="F1178" t="s">
        <v>26</v>
      </c>
    </row>
    <row r="1179" spans="1:6">
      <c r="A1179" t="s">
        <v>1337</v>
      </c>
      <c r="B1179" t="s">
        <v>2210</v>
      </c>
      <c r="C1179" t="s">
        <v>1676</v>
      </c>
      <c r="D1179" s="1">
        <v>46258</v>
      </c>
      <c r="E1179">
        <v>136552.37</v>
      </c>
      <c r="F1179" t="s">
        <v>9</v>
      </c>
    </row>
    <row r="1180" spans="1:6">
      <c r="A1180" t="s">
        <v>1337</v>
      </c>
      <c r="B1180" t="s">
        <v>2211</v>
      </c>
      <c r="C1180" t="s">
        <v>2212</v>
      </c>
      <c r="D1180" s="1">
        <v>46258</v>
      </c>
      <c r="E1180">
        <v>272074.48</v>
      </c>
      <c r="F1180" t="s">
        <v>26</v>
      </c>
    </row>
    <row r="1181" spans="1:6">
      <c r="A1181" t="s">
        <v>1337</v>
      </c>
      <c r="B1181" t="s">
        <v>2213</v>
      </c>
      <c r="C1181" t="s">
        <v>2214</v>
      </c>
      <c r="D1181" s="1">
        <v>46258</v>
      </c>
      <c r="E1181">
        <v>12873.93</v>
      </c>
      <c r="F1181" t="s">
        <v>9</v>
      </c>
    </row>
    <row r="1182" spans="1:6">
      <c r="A1182" t="s">
        <v>1337</v>
      </c>
      <c r="B1182" t="s">
        <v>2215</v>
      </c>
      <c r="C1182" t="s">
        <v>2216</v>
      </c>
      <c r="D1182" s="1">
        <v>46258</v>
      </c>
      <c r="E1182">
        <v>18253.689999999999</v>
      </c>
      <c r="F1182" t="s">
        <v>26</v>
      </c>
    </row>
    <row r="1183" spans="1:6">
      <c r="A1183" t="s">
        <v>1337</v>
      </c>
      <c r="B1183" t="s">
        <v>2217</v>
      </c>
      <c r="C1183" t="s">
        <v>1913</v>
      </c>
      <c r="D1183" s="1">
        <v>46258</v>
      </c>
      <c r="E1183">
        <v>209354.31</v>
      </c>
      <c r="F1183" t="s">
        <v>9</v>
      </c>
    </row>
    <row r="1184" spans="1:6">
      <c r="A1184" t="s">
        <v>1337</v>
      </c>
      <c r="B1184" t="s">
        <v>2218</v>
      </c>
      <c r="C1184" t="s">
        <v>1859</v>
      </c>
      <c r="D1184" s="1">
        <v>46258</v>
      </c>
      <c r="E1184">
        <v>165983.47</v>
      </c>
      <c r="F1184" t="s">
        <v>9</v>
      </c>
    </row>
    <row r="1185" spans="1:6">
      <c r="A1185" t="s">
        <v>1337</v>
      </c>
      <c r="B1185" t="s">
        <v>2219</v>
      </c>
      <c r="C1185" t="s">
        <v>2220</v>
      </c>
      <c r="D1185" s="1">
        <v>46258</v>
      </c>
      <c r="E1185">
        <v>249378.01</v>
      </c>
      <c r="F1185" t="s">
        <v>16</v>
      </c>
    </row>
    <row r="1186" spans="1:6">
      <c r="A1186" t="s">
        <v>1337</v>
      </c>
      <c r="B1186" t="s">
        <v>2221</v>
      </c>
      <c r="C1186" t="s">
        <v>2222</v>
      </c>
      <c r="D1186" s="1">
        <v>46258</v>
      </c>
      <c r="E1186">
        <v>39686.85</v>
      </c>
      <c r="F1186" t="s">
        <v>9</v>
      </c>
    </row>
    <row r="1187" spans="1:6">
      <c r="A1187" t="s">
        <v>1337</v>
      </c>
      <c r="B1187" t="s">
        <v>2223</v>
      </c>
      <c r="C1187" t="s">
        <v>2224</v>
      </c>
      <c r="D1187" s="1">
        <v>46258</v>
      </c>
      <c r="E1187">
        <v>507556.12</v>
      </c>
      <c r="F1187" t="s">
        <v>16</v>
      </c>
    </row>
    <row r="1188" spans="1:6">
      <c r="A1188" t="s">
        <v>1337</v>
      </c>
      <c r="B1188" t="s">
        <v>2225</v>
      </c>
      <c r="C1188" t="s">
        <v>2226</v>
      </c>
      <c r="D1188" s="1">
        <v>46258</v>
      </c>
      <c r="E1188">
        <v>326088.31</v>
      </c>
      <c r="F1188" t="s">
        <v>16</v>
      </c>
    </row>
    <row r="1189" spans="1:6">
      <c r="A1189" t="s">
        <v>1337</v>
      </c>
      <c r="B1189" t="s">
        <v>2227</v>
      </c>
      <c r="C1189" t="s">
        <v>1654</v>
      </c>
      <c r="D1189" s="1">
        <v>46258</v>
      </c>
      <c r="E1189">
        <v>95957.78</v>
      </c>
      <c r="F1189" t="s">
        <v>26</v>
      </c>
    </row>
    <row r="1190" spans="1:6">
      <c r="A1190" t="s">
        <v>1337</v>
      </c>
      <c r="B1190" t="s">
        <v>2228</v>
      </c>
      <c r="C1190" t="s">
        <v>2229</v>
      </c>
      <c r="D1190" s="1">
        <v>46258</v>
      </c>
      <c r="E1190">
        <v>33698.25</v>
      </c>
      <c r="F1190" t="s">
        <v>9</v>
      </c>
    </row>
    <row r="1191" spans="1:6">
      <c r="A1191" t="s">
        <v>1337</v>
      </c>
      <c r="B1191" t="s">
        <v>2230</v>
      </c>
      <c r="C1191" t="s">
        <v>2231</v>
      </c>
      <c r="D1191" s="1">
        <v>46258</v>
      </c>
      <c r="E1191">
        <v>12971.82</v>
      </c>
      <c r="F1191" t="s">
        <v>26</v>
      </c>
    </row>
    <row r="1192" spans="1:6">
      <c r="A1192" t="s">
        <v>1337</v>
      </c>
      <c r="B1192" t="s">
        <v>2232</v>
      </c>
      <c r="C1192" t="s">
        <v>2233</v>
      </c>
      <c r="D1192" s="1">
        <v>46258</v>
      </c>
      <c r="E1192">
        <v>1454109.2</v>
      </c>
      <c r="F1192" t="s">
        <v>26</v>
      </c>
    </row>
    <row r="1193" spans="1:6">
      <c r="A1193" t="s">
        <v>1337</v>
      </c>
      <c r="B1193" t="s">
        <v>2234</v>
      </c>
      <c r="C1193" t="s">
        <v>2235</v>
      </c>
      <c r="D1193" s="1">
        <v>46258</v>
      </c>
      <c r="E1193">
        <v>15683.88</v>
      </c>
      <c r="F1193" t="s">
        <v>9</v>
      </c>
    </row>
    <row r="1194" spans="1:6">
      <c r="A1194" t="s">
        <v>1337</v>
      </c>
      <c r="B1194" t="s">
        <v>2236</v>
      </c>
      <c r="C1194" t="s">
        <v>2237</v>
      </c>
      <c r="D1194" s="1">
        <v>46258</v>
      </c>
      <c r="E1194">
        <v>56904.68</v>
      </c>
      <c r="F1194" t="s">
        <v>16</v>
      </c>
    </row>
    <row r="1195" spans="1:6">
      <c r="A1195" t="s">
        <v>1337</v>
      </c>
      <c r="B1195" t="s">
        <v>2238</v>
      </c>
      <c r="C1195" t="s">
        <v>2239</v>
      </c>
      <c r="D1195" s="1">
        <v>46259</v>
      </c>
      <c r="E1195">
        <v>42541.84</v>
      </c>
      <c r="F1195" t="s">
        <v>26</v>
      </c>
    </row>
    <row r="1196" spans="1:6">
      <c r="A1196" t="s">
        <v>1337</v>
      </c>
      <c r="B1196" t="s">
        <v>2240</v>
      </c>
      <c r="C1196" t="s">
        <v>2117</v>
      </c>
      <c r="D1196" s="1">
        <v>46259</v>
      </c>
      <c r="E1196">
        <v>17124.02</v>
      </c>
      <c r="F1196" t="s">
        <v>9</v>
      </c>
    </row>
    <row r="1197" spans="1:6">
      <c r="A1197" t="s">
        <v>1337</v>
      </c>
      <c r="B1197" t="s">
        <v>2241</v>
      </c>
      <c r="C1197" t="s">
        <v>1156</v>
      </c>
      <c r="D1197" s="1">
        <v>46259</v>
      </c>
      <c r="E1197">
        <v>93338.72</v>
      </c>
      <c r="F1197" t="s">
        <v>9</v>
      </c>
    </row>
    <row r="1198" spans="1:6">
      <c r="A1198" t="s">
        <v>1337</v>
      </c>
      <c r="B1198" t="s">
        <v>2242</v>
      </c>
      <c r="C1198" t="s">
        <v>1118</v>
      </c>
      <c r="D1198" s="1">
        <v>46259</v>
      </c>
      <c r="E1198">
        <v>27244.39</v>
      </c>
      <c r="F1198" t="s">
        <v>26</v>
      </c>
    </row>
    <row r="1199" spans="1:6">
      <c r="A1199" t="s">
        <v>1337</v>
      </c>
      <c r="B1199" t="s">
        <v>2243</v>
      </c>
      <c r="C1199" t="s">
        <v>2244</v>
      </c>
      <c r="D1199" s="1">
        <v>46259</v>
      </c>
      <c r="E1199">
        <v>2000000</v>
      </c>
      <c r="F1199" t="s">
        <v>9</v>
      </c>
    </row>
    <row r="1200" spans="1:6">
      <c r="A1200" t="s">
        <v>1337</v>
      </c>
      <c r="B1200" t="s">
        <v>2245</v>
      </c>
      <c r="C1200" t="s">
        <v>2246</v>
      </c>
      <c r="D1200" s="1">
        <v>46259</v>
      </c>
      <c r="E1200">
        <v>103609.2</v>
      </c>
      <c r="F1200" t="s">
        <v>16</v>
      </c>
    </row>
    <row r="1201" spans="1:6">
      <c r="A1201" t="s">
        <v>1337</v>
      </c>
      <c r="B1201" t="s">
        <v>2247</v>
      </c>
      <c r="C1201" t="s">
        <v>2248</v>
      </c>
      <c r="D1201" s="1">
        <v>46259</v>
      </c>
      <c r="E1201">
        <v>167031.98000000001</v>
      </c>
      <c r="F1201" t="s">
        <v>26</v>
      </c>
    </row>
    <row r="1202" spans="1:6">
      <c r="A1202" t="s">
        <v>1337</v>
      </c>
      <c r="B1202" t="s">
        <v>2249</v>
      </c>
      <c r="C1202" t="s">
        <v>1949</v>
      </c>
      <c r="D1202" s="1">
        <v>46259</v>
      </c>
      <c r="E1202">
        <v>69897.63</v>
      </c>
      <c r="F1202" t="s">
        <v>26</v>
      </c>
    </row>
    <row r="1203" spans="1:6">
      <c r="A1203" t="s">
        <v>1337</v>
      </c>
      <c r="B1203" t="s">
        <v>2250</v>
      </c>
      <c r="C1203" t="s">
        <v>2251</v>
      </c>
      <c r="D1203" s="1">
        <v>46259</v>
      </c>
      <c r="E1203">
        <v>40287.18</v>
      </c>
      <c r="F1203" t="s">
        <v>9</v>
      </c>
    </row>
    <row r="1204" spans="1:6">
      <c r="A1204" t="s">
        <v>1337</v>
      </c>
      <c r="B1204" t="s">
        <v>2252</v>
      </c>
      <c r="C1204" t="s">
        <v>2253</v>
      </c>
      <c r="D1204" s="1">
        <v>46259</v>
      </c>
      <c r="E1204">
        <v>31772</v>
      </c>
      <c r="F1204" t="s">
        <v>9</v>
      </c>
    </row>
    <row r="1205" spans="1:6">
      <c r="A1205" t="s">
        <v>1337</v>
      </c>
      <c r="B1205" t="s">
        <v>2254</v>
      </c>
      <c r="C1205" t="s">
        <v>2255</v>
      </c>
      <c r="D1205" s="1">
        <v>46259</v>
      </c>
      <c r="E1205">
        <v>58086.74</v>
      </c>
      <c r="F1205" t="s">
        <v>9</v>
      </c>
    </row>
    <row r="1206" spans="1:6">
      <c r="A1206" t="s">
        <v>1337</v>
      </c>
      <c r="B1206" t="s">
        <v>2256</v>
      </c>
      <c r="C1206" t="s">
        <v>2257</v>
      </c>
      <c r="D1206" s="1">
        <v>46259</v>
      </c>
      <c r="E1206">
        <v>190371.28</v>
      </c>
      <c r="F1206" t="s">
        <v>9</v>
      </c>
    </row>
    <row r="1207" spans="1:6">
      <c r="A1207" t="s">
        <v>1337</v>
      </c>
      <c r="B1207" t="s">
        <v>2258</v>
      </c>
      <c r="C1207" t="s">
        <v>2259</v>
      </c>
      <c r="D1207" s="1">
        <v>46259</v>
      </c>
      <c r="E1207">
        <v>14598.57</v>
      </c>
      <c r="F1207" t="s">
        <v>9</v>
      </c>
    </row>
    <row r="1208" spans="1:6">
      <c r="A1208" t="s">
        <v>1337</v>
      </c>
      <c r="B1208" t="s">
        <v>2260</v>
      </c>
      <c r="C1208" t="s">
        <v>2261</v>
      </c>
      <c r="D1208" s="1">
        <v>46259</v>
      </c>
      <c r="E1208">
        <v>45664.49</v>
      </c>
      <c r="F1208" t="s">
        <v>9</v>
      </c>
    </row>
    <row r="1209" spans="1:6">
      <c r="A1209" t="s">
        <v>1337</v>
      </c>
      <c r="B1209" t="s">
        <v>2262</v>
      </c>
      <c r="C1209" t="s">
        <v>2263</v>
      </c>
      <c r="D1209" s="1">
        <v>46259</v>
      </c>
      <c r="E1209">
        <v>112528.53</v>
      </c>
      <c r="F1209" t="s">
        <v>9</v>
      </c>
    </row>
    <row r="1210" spans="1:6">
      <c r="A1210" t="s">
        <v>1337</v>
      </c>
      <c r="B1210" t="s">
        <v>2264</v>
      </c>
      <c r="C1210" t="s">
        <v>1722</v>
      </c>
      <c r="D1210" s="1">
        <v>46259</v>
      </c>
      <c r="E1210">
        <v>168018.41</v>
      </c>
      <c r="F1210" t="s">
        <v>9</v>
      </c>
    </row>
    <row r="1211" spans="1:6">
      <c r="A1211" t="s">
        <v>1337</v>
      </c>
      <c r="B1211" t="s">
        <v>2265</v>
      </c>
      <c r="C1211" t="s">
        <v>1835</v>
      </c>
      <c r="D1211" s="1">
        <v>46259</v>
      </c>
      <c r="E1211">
        <v>132910.23000000001</v>
      </c>
      <c r="F1211" t="s">
        <v>16</v>
      </c>
    </row>
    <row r="1212" spans="1:6">
      <c r="A1212" t="s">
        <v>1337</v>
      </c>
      <c r="B1212" t="s">
        <v>2266</v>
      </c>
      <c r="C1212" t="s">
        <v>2267</v>
      </c>
      <c r="D1212" s="1">
        <v>46259</v>
      </c>
      <c r="E1212">
        <v>12545.91</v>
      </c>
      <c r="F1212" t="s">
        <v>16</v>
      </c>
    </row>
    <row r="1213" spans="1:6">
      <c r="A1213" t="s">
        <v>1337</v>
      </c>
      <c r="B1213" t="s">
        <v>2268</v>
      </c>
      <c r="C1213" t="s">
        <v>2269</v>
      </c>
      <c r="D1213" s="1">
        <v>46259</v>
      </c>
      <c r="E1213">
        <v>192689.15</v>
      </c>
      <c r="F1213" t="s">
        <v>26</v>
      </c>
    </row>
    <row r="1214" spans="1:6">
      <c r="A1214" t="s">
        <v>1337</v>
      </c>
      <c r="B1214" t="s">
        <v>2270</v>
      </c>
      <c r="C1214" t="s">
        <v>2271</v>
      </c>
      <c r="D1214" s="1">
        <v>46259</v>
      </c>
      <c r="E1214">
        <v>388993.55</v>
      </c>
      <c r="F1214" t="s">
        <v>16</v>
      </c>
    </row>
    <row r="1215" spans="1:6">
      <c r="A1215" t="s">
        <v>1337</v>
      </c>
      <c r="B1215" t="s">
        <v>2272</v>
      </c>
      <c r="C1215" t="s">
        <v>1766</v>
      </c>
      <c r="D1215" s="1">
        <v>46259</v>
      </c>
      <c r="E1215">
        <v>47606.57</v>
      </c>
      <c r="F1215" t="s">
        <v>9</v>
      </c>
    </row>
    <row r="1216" spans="1:6">
      <c r="A1216" t="s">
        <v>1337</v>
      </c>
      <c r="B1216" t="s">
        <v>2273</v>
      </c>
      <c r="C1216" t="s">
        <v>2274</v>
      </c>
      <c r="D1216" s="1">
        <v>46259</v>
      </c>
      <c r="E1216">
        <v>351222.2</v>
      </c>
      <c r="F1216" t="s">
        <v>9</v>
      </c>
    </row>
    <row r="1217" spans="1:6">
      <c r="A1217" t="s">
        <v>1337</v>
      </c>
      <c r="B1217" t="s">
        <v>2275</v>
      </c>
      <c r="C1217" t="s">
        <v>2276</v>
      </c>
      <c r="D1217" s="1">
        <v>46259</v>
      </c>
      <c r="E1217">
        <v>1782979</v>
      </c>
      <c r="F1217" t="s">
        <v>16</v>
      </c>
    </row>
    <row r="1218" spans="1:6">
      <c r="A1218" t="s">
        <v>1337</v>
      </c>
      <c r="B1218" t="s">
        <v>2277</v>
      </c>
      <c r="C1218" t="s">
        <v>2278</v>
      </c>
      <c r="D1218" s="1">
        <v>46259</v>
      </c>
      <c r="E1218">
        <v>2000000</v>
      </c>
      <c r="F1218" t="s">
        <v>9</v>
      </c>
    </row>
    <row r="1219" spans="1:6">
      <c r="A1219" t="s">
        <v>1337</v>
      </c>
      <c r="B1219" t="s">
        <v>2279</v>
      </c>
      <c r="C1219" t="s">
        <v>2280</v>
      </c>
      <c r="D1219" s="1">
        <v>46259</v>
      </c>
      <c r="E1219">
        <v>963959.62</v>
      </c>
      <c r="F1219" t="s">
        <v>26</v>
      </c>
    </row>
    <row r="1220" spans="1:6">
      <c r="A1220" t="s">
        <v>1337</v>
      </c>
      <c r="B1220" t="s">
        <v>2281</v>
      </c>
      <c r="C1220" t="s">
        <v>2282</v>
      </c>
      <c r="D1220" s="1">
        <v>46259</v>
      </c>
      <c r="E1220">
        <v>13529.18</v>
      </c>
      <c r="F1220" t="s">
        <v>9</v>
      </c>
    </row>
    <row r="1221" spans="1:6">
      <c r="A1221" t="s">
        <v>1337</v>
      </c>
      <c r="B1221" t="s">
        <v>2283</v>
      </c>
      <c r="C1221" t="s">
        <v>2284</v>
      </c>
      <c r="D1221" s="1">
        <v>46259</v>
      </c>
      <c r="E1221">
        <v>1184226.1599999999</v>
      </c>
      <c r="F1221" t="s">
        <v>9</v>
      </c>
    </row>
    <row r="1222" spans="1:6">
      <c r="A1222" t="s">
        <v>1337</v>
      </c>
      <c r="B1222" t="s">
        <v>2285</v>
      </c>
      <c r="C1222" t="s">
        <v>2172</v>
      </c>
      <c r="D1222" s="1">
        <v>46259</v>
      </c>
      <c r="E1222">
        <v>185987.97</v>
      </c>
      <c r="F1222" t="s">
        <v>16</v>
      </c>
    </row>
    <row r="1223" spans="1:6">
      <c r="A1223" t="s">
        <v>1337</v>
      </c>
      <c r="B1223" t="s">
        <v>2286</v>
      </c>
      <c r="C1223" t="s">
        <v>2287</v>
      </c>
      <c r="D1223" s="1">
        <v>46259</v>
      </c>
      <c r="E1223">
        <v>95350.19</v>
      </c>
      <c r="F1223" t="s">
        <v>9</v>
      </c>
    </row>
    <row r="1224" spans="1:6">
      <c r="A1224" t="s">
        <v>1337</v>
      </c>
      <c r="B1224" t="s">
        <v>2288</v>
      </c>
      <c r="C1224" t="s">
        <v>2289</v>
      </c>
      <c r="D1224" s="1">
        <v>46259</v>
      </c>
      <c r="E1224">
        <v>24177.89</v>
      </c>
      <c r="F1224" t="s">
        <v>16</v>
      </c>
    </row>
    <row r="1225" spans="1:6">
      <c r="A1225" t="s">
        <v>1337</v>
      </c>
      <c r="B1225" t="s">
        <v>2290</v>
      </c>
      <c r="C1225" t="s">
        <v>2291</v>
      </c>
      <c r="D1225" s="1">
        <v>46260</v>
      </c>
      <c r="E1225">
        <v>68797.100000000006</v>
      </c>
      <c r="F1225" t="s">
        <v>16</v>
      </c>
    </row>
    <row r="1226" spans="1:6">
      <c r="A1226" t="s">
        <v>1337</v>
      </c>
      <c r="B1226" t="s">
        <v>2292</v>
      </c>
      <c r="C1226" t="s">
        <v>2293</v>
      </c>
      <c r="D1226" s="1">
        <v>46260</v>
      </c>
      <c r="E1226">
        <v>68199.31</v>
      </c>
      <c r="F1226" t="s">
        <v>16</v>
      </c>
    </row>
    <row r="1227" spans="1:6">
      <c r="A1227" t="s">
        <v>1337</v>
      </c>
      <c r="B1227" t="s">
        <v>2294</v>
      </c>
      <c r="C1227" t="s">
        <v>1209</v>
      </c>
      <c r="D1227" s="1">
        <v>46260</v>
      </c>
      <c r="E1227">
        <v>8524</v>
      </c>
      <c r="F1227" t="s">
        <v>16</v>
      </c>
    </row>
    <row r="1228" spans="1:6">
      <c r="A1228" t="s">
        <v>1337</v>
      </c>
      <c r="B1228" t="s">
        <v>2295</v>
      </c>
      <c r="C1228" t="s">
        <v>2296</v>
      </c>
      <c r="D1228" s="1">
        <v>46260</v>
      </c>
      <c r="E1228">
        <v>29081.93</v>
      </c>
      <c r="F1228" t="s">
        <v>9</v>
      </c>
    </row>
    <row r="1229" spans="1:6">
      <c r="A1229" t="s">
        <v>1337</v>
      </c>
      <c r="B1229" t="s">
        <v>2297</v>
      </c>
      <c r="C1229" t="s">
        <v>2298</v>
      </c>
      <c r="D1229" s="1">
        <v>46260</v>
      </c>
      <c r="E1229">
        <v>31472.04</v>
      </c>
      <c r="F1229" t="s">
        <v>9</v>
      </c>
    </row>
    <row r="1230" spans="1:6">
      <c r="A1230" t="s">
        <v>1337</v>
      </c>
      <c r="B1230" t="s">
        <v>2299</v>
      </c>
      <c r="C1230" t="s">
        <v>2300</v>
      </c>
      <c r="D1230" s="1">
        <v>46260</v>
      </c>
      <c r="E1230">
        <v>59236.95</v>
      </c>
      <c r="F1230" t="s">
        <v>16</v>
      </c>
    </row>
    <row r="1231" spans="1:6">
      <c r="A1231" t="s">
        <v>1337</v>
      </c>
      <c r="B1231" t="s">
        <v>2301</v>
      </c>
      <c r="C1231" t="s">
        <v>2302</v>
      </c>
      <c r="D1231" s="1">
        <v>46260</v>
      </c>
      <c r="E1231">
        <v>327092.28999999998</v>
      </c>
      <c r="F1231" t="s">
        <v>26</v>
      </c>
    </row>
    <row r="1232" spans="1:6">
      <c r="A1232" t="s">
        <v>1337</v>
      </c>
      <c r="B1232" t="s">
        <v>2303</v>
      </c>
      <c r="C1232" t="s">
        <v>2304</v>
      </c>
      <c r="D1232" s="1">
        <v>46260</v>
      </c>
      <c r="E1232">
        <v>9596.51</v>
      </c>
      <c r="F1232" t="s">
        <v>9</v>
      </c>
    </row>
    <row r="1233" spans="1:6">
      <c r="A1233" t="s">
        <v>1337</v>
      </c>
      <c r="B1233" t="s">
        <v>2305</v>
      </c>
      <c r="C1233" t="s">
        <v>2306</v>
      </c>
      <c r="D1233" s="1">
        <v>46260</v>
      </c>
      <c r="E1233">
        <v>62276.49</v>
      </c>
      <c r="F1233" t="s">
        <v>16</v>
      </c>
    </row>
    <row r="1234" spans="1:6">
      <c r="A1234" t="s">
        <v>1337</v>
      </c>
      <c r="B1234" t="s">
        <v>2307</v>
      </c>
      <c r="C1234" t="s">
        <v>2308</v>
      </c>
      <c r="D1234" s="1">
        <v>46260</v>
      </c>
      <c r="E1234">
        <v>870356.15</v>
      </c>
      <c r="F1234" t="s">
        <v>9</v>
      </c>
    </row>
    <row r="1235" spans="1:6">
      <c r="A1235" t="s">
        <v>1337</v>
      </c>
      <c r="B1235" t="s">
        <v>2309</v>
      </c>
      <c r="C1235" t="s">
        <v>2310</v>
      </c>
      <c r="D1235" s="1">
        <v>46260</v>
      </c>
      <c r="E1235">
        <v>22661.5</v>
      </c>
      <c r="F1235" t="s">
        <v>16</v>
      </c>
    </row>
    <row r="1236" spans="1:6">
      <c r="A1236" t="s">
        <v>1337</v>
      </c>
      <c r="B1236" t="s">
        <v>2311</v>
      </c>
      <c r="C1236" t="s">
        <v>2312</v>
      </c>
      <c r="D1236" s="1">
        <v>46260</v>
      </c>
      <c r="E1236">
        <v>348863.68</v>
      </c>
      <c r="F1236" t="s">
        <v>9</v>
      </c>
    </row>
    <row r="1237" spans="1:6">
      <c r="A1237" t="s">
        <v>1337</v>
      </c>
      <c r="B1237" t="s">
        <v>2313</v>
      </c>
      <c r="C1237" t="s">
        <v>1525</v>
      </c>
      <c r="D1237" s="1">
        <v>46260</v>
      </c>
      <c r="E1237">
        <v>47369.33</v>
      </c>
      <c r="F1237" t="s">
        <v>9</v>
      </c>
    </row>
    <row r="1238" spans="1:6">
      <c r="A1238" t="s">
        <v>1337</v>
      </c>
      <c r="B1238" t="s">
        <v>2314</v>
      </c>
      <c r="C1238" t="s">
        <v>2315</v>
      </c>
      <c r="D1238" s="1">
        <v>46260</v>
      </c>
      <c r="E1238">
        <v>92055.679999999993</v>
      </c>
      <c r="F1238" t="s">
        <v>26</v>
      </c>
    </row>
    <row r="1239" spans="1:6">
      <c r="A1239" t="s">
        <v>1337</v>
      </c>
      <c r="B1239" t="s">
        <v>2316</v>
      </c>
      <c r="C1239" t="s">
        <v>2317</v>
      </c>
      <c r="D1239" s="1">
        <v>46260</v>
      </c>
      <c r="E1239">
        <v>48504.08</v>
      </c>
      <c r="F1239" t="s">
        <v>16</v>
      </c>
    </row>
    <row r="1240" spans="1:6">
      <c r="A1240" t="s">
        <v>1337</v>
      </c>
      <c r="B1240" t="s">
        <v>2318</v>
      </c>
      <c r="C1240" t="s">
        <v>2319</v>
      </c>
      <c r="D1240" s="1">
        <v>46260</v>
      </c>
      <c r="E1240">
        <v>39511.03</v>
      </c>
      <c r="F1240" t="s">
        <v>16</v>
      </c>
    </row>
    <row r="1241" spans="1:6">
      <c r="A1241" t="s">
        <v>1337</v>
      </c>
      <c r="B1241" t="s">
        <v>2320</v>
      </c>
      <c r="C1241" t="s">
        <v>2321</v>
      </c>
      <c r="D1241" s="1">
        <v>46260</v>
      </c>
      <c r="E1241">
        <v>71881.53</v>
      </c>
      <c r="F1241" t="s">
        <v>16</v>
      </c>
    </row>
    <row r="1242" spans="1:6">
      <c r="A1242" t="s">
        <v>1337</v>
      </c>
      <c r="B1242" t="s">
        <v>2322</v>
      </c>
      <c r="C1242" t="s">
        <v>2323</v>
      </c>
      <c r="D1242" s="1">
        <v>46260</v>
      </c>
      <c r="E1242">
        <v>176183.66</v>
      </c>
      <c r="F1242" t="s">
        <v>9</v>
      </c>
    </row>
    <row r="1243" spans="1:6">
      <c r="A1243" t="s">
        <v>1337</v>
      </c>
      <c r="B1243" t="s">
        <v>2324</v>
      </c>
      <c r="C1243" t="s">
        <v>1797</v>
      </c>
      <c r="D1243" s="1">
        <v>46260</v>
      </c>
      <c r="E1243">
        <v>18862.82</v>
      </c>
      <c r="F1243" t="s">
        <v>9</v>
      </c>
    </row>
    <row r="1244" spans="1:6">
      <c r="A1244" t="s">
        <v>1337</v>
      </c>
      <c r="B1244" t="s">
        <v>2325</v>
      </c>
      <c r="C1244" t="s">
        <v>1312</v>
      </c>
      <c r="D1244" s="1">
        <v>46260</v>
      </c>
      <c r="E1244">
        <v>52523.35</v>
      </c>
      <c r="F1244" t="s">
        <v>9</v>
      </c>
    </row>
    <row r="1245" spans="1:6">
      <c r="A1245" t="s">
        <v>1337</v>
      </c>
      <c r="B1245" t="s">
        <v>2326</v>
      </c>
      <c r="C1245" t="s">
        <v>2327</v>
      </c>
      <c r="D1245" s="1">
        <v>46260</v>
      </c>
      <c r="E1245">
        <v>326361.84999999998</v>
      </c>
      <c r="F1245" t="s">
        <v>16</v>
      </c>
    </row>
    <row r="1246" spans="1:6">
      <c r="A1246" t="s">
        <v>1337</v>
      </c>
      <c r="B1246" t="s">
        <v>2328</v>
      </c>
      <c r="C1246" t="s">
        <v>2329</v>
      </c>
      <c r="D1246" s="1">
        <v>46260</v>
      </c>
      <c r="E1246">
        <v>113551.38</v>
      </c>
      <c r="F1246" t="s">
        <v>9</v>
      </c>
    </row>
    <row r="1247" spans="1:6">
      <c r="A1247" t="s">
        <v>1337</v>
      </c>
      <c r="B1247" t="s">
        <v>2330</v>
      </c>
      <c r="C1247" t="s">
        <v>2331</v>
      </c>
      <c r="D1247" s="1">
        <v>46260</v>
      </c>
      <c r="E1247">
        <v>26793.99</v>
      </c>
      <c r="F1247" t="s">
        <v>9</v>
      </c>
    </row>
    <row r="1248" spans="1:6">
      <c r="A1248" t="s">
        <v>1337</v>
      </c>
      <c r="B1248" t="s">
        <v>2332</v>
      </c>
      <c r="C1248" t="s">
        <v>2333</v>
      </c>
      <c r="D1248" s="1">
        <v>46260</v>
      </c>
      <c r="E1248">
        <v>1258759.5</v>
      </c>
      <c r="F1248" t="s">
        <v>9</v>
      </c>
    </row>
    <row r="1249" spans="1:6">
      <c r="A1249" t="s">
        <v>1337</v>
      </c>
      <c r="B1249" t="s">
        <v>2334</v>
      </c>
      <c r="C1249" t="s">
        <v>2335</v>
      </c>
      <c r="D1249" s="1">
        <v>46260</v>
      </c>
      <c r="E1249">
        <v>30771.74</v>
      </c>
      <c r="F1249" t="s">
        <v>9</v>
      </c>
    </row>
    <row r="1250" spans="1:6">
      <c r="A1250" t="s">
        <v>1337</v>
      </c>
      <c r="B1250" t="s">
        <v>2336</v>
      </c>
      <c r="C1250" t="s">
        <v>2337</v>
      </c>
      <c r="D1250" s="1">
        <v>46260</v>
      </c>
      <c r="E1250">
        <v>109351.75</v>
      </c>
      <c r="F1250" t="s">
        <v>9</v>
      </c>
    </row>
    <row r="1251" spans="1:6">
      <c r="A1251" t="s">
        <v>1337</v>
      </c>
      <c r="B1251" t="s">
        <v>2338</v>
      </c>
      <c r="C1251" t="s">
        <v>1728</v>
      </c>
      <c r="D1251" s="1">
        <v>46260</v>
      </c>
      <c r="E1251">
        <v>6085.06</v>
      </c>
      <c r="F1251" t="s">
        <v>26</v>
      </c>
    </row>
    <row r="1252" spans="1:6">
      <c r="A1252" t="s">
        <v>1337</v>
      </c>
      <c r="B1252" t="s">
        <v>2339</v>
      </c>
      <c r="C1252" t="s">
        <v>2340</v>
      </c>
      <c r="D1252" s="1">
        <v>46260</v>
      </c>
      <c r="E1252">
        <v>75696.23</v>
      </c>
      <c r="F1252" t="s">
        <v>9</v>
      </c>
    </row>
    <row r="1253" spans="1:6">
      <c r="A1253" t="s">
        <v>1337</v>
      </c>
      <c r="B1253" t="s">
        <v>2341</v>
      </c>
      <c r="C1253" t="s">
        <v>2342</v>
      </c>
      <c r="D1253" s="1">
        <v>46261</v>
      </c>
      <c r="E1253">
        <v>262188.28000000003</v>
      </c>
      <c r="F1253" t="s">
        <v>16</v>
      </c>
    </row>
    <row r="1254" spans="1:6">
      <c r="A1254" t="s">
        <v>1337</v>
      </c>
      <c r="B1254" t="s">
        <v>2343</v>
      </c>
      <c r="C1254" t="s">
        <v>2344</v>
      </c>
      <c r="D1254" s="1">
        <v>46261</v>
      </c>
      <c r="E1254">
        <v>87656.49</v>
      </c>
      <c r="F1254" t="s">
        <v>16</v>
      </c>
    </row>
    <row r="1255" spans="1:6">
      <c r="A1255" t="s">
        <v>1337</v>
      </c>
      <c r="B1255" t="s">
        <v>2345</v>
      </c>
      <c r="C1255" t="s">
        <v>2346</v>
      </c>
      <c r="D1255" s="1">
        <v>46261</v>
      </c>
      <c r="E1255">
        <v>51534.36</v>
      </c>
      <c r="F1255" t="s">
        <v>9</v>
      </c>
    </row>
    <row r="1256" spans="1:6">
      <c r="A1256" t="s">
        <v>1337</v>
      </c>
      <c r="B1256" t="s">
        <v>2347</v>
      </c>
      <c r="C1256" t="s">
        <v>2348</v>
      </c>
      <c r="D1256" s="1">
        <v>46261</v>
      </c>
      <c r="E1256">
        <v>124702.07</v>
      </c>
      <c r="F1256" t="s">
        <v>16</v>
      </c>
    </row>
    <row r="1257" spans="1:6">
      <c r="A1257" t="s">
        <v>1337</v>
      </c>
      <c r="B1257" t="s">
        <v>2349</v>
      </c>
      <c r="C1257" t="s">
        <v>2350</v>
      </c>
      <c r="D1257" s="1">
        <v>46261</v>
      </c>
      <c r="E1257">
        <v>266489</v>
      </c>
      <c r="F1257" t="s">
        <v>9</v>
      </c>
    </row>
    <row r="1258" spans="1:6">
      <c r="A1258" t="s">
        <v>1337</v>
      </c>
      <c r="B1258" t="s">
        <v>2351</v>
      </c>
      <c r="C1258" t="s">
        <v>2352</v>
      </c>
      <c r="D1258" s="1">
        <v>46261</v>
      </c>
      <c r="E1258">
        <v>1164095.3700000001</v>
      </c>
      <c r="F1258" t="s">
        <v>9</v>
      </c>
    </row>
    <row r="1259" spans="1:6">
      <c r="A1259" t="s">
        <v>1337</v>
      </c>
      <c r="B1259" t="s">
        <v>2353</v>
      </c>
      <c r="C1259" t="s">
        <v>2354</v>
      </c>
      <c r="D1259" s="1">
        <v>46261</v>
      </c>
      <c r="E1259">
        <v>16616.78</v>
      </c>
      <c r="F1259" t="s">
        <v>16</v>
      </c>
    </row>
    <row r="1260" spans="1:6">
      <c r="A1260" t="s">
        <v>1337</v>
      </c>
      <c r="B1260" t="s">
        <v>2355</v>
      </c>
      <c r="C1260" t="s">
        <v>2356</v>
      </c>
      <c r="D1260" s="1">
        <v>46261</v>
      </c>
      <c r="E1260">
        <v>166981.01</v>
      </c>
      <c r="F1260" t="s">
        <v>9</v>
      </c>
    </row>
    <row r="1261" spans="1:6">
      <c r="A1261" t="s">
        <v>1337</v>
      </c>
      <c r="B1261" t="s">
        <v>2357</v>
      </c>
      <c r="C1261" t="s">
        <v>2358</v>
      </c>
      <c r="D1261" s="1">
        <v>46261</v>
      </c>
      <c r="E1261">
        <v>92313.16</v>
      </c>
      <c r="F1261" t="s">
        <v>9</v>
      </c>
    </row>
    <row r="1262" spans="1:6">
      <c r="A1262" t="s">
        <v>1337</v>
      </c>
      <c r="B1262" t="s">
        <v>2359</v>
      </c>
      <c r="C1262" t="s">
        <v>2360</v>
      </c>
      <c r="D1262" s="1">
        <v>46261</v>
      </c>
      <c r="E1262">
        <v>132052.89000000001</v>
      </c>
      <c r="F1262" t="s">
        <v>16</v>
      </c>
    </row>
    <row r="1263" spans="1:6">
      <c r="A1263" t="s">
        <v>1337</v>
      </c>
      <c r="B1263" t="s">
        <v>2361</v>
      </c>
      <c r="C1263" t="s">
        <v>2362</v>
      </c>
      <c r="D1263" s="1">
        <v>46261</v>
      </c>
      <c r="E1263">
        <v>95588.41</v>
      </c>
      <c r="F1263" t="s">
        <v>16</v>
      </c>
    </row>
    <row r="1264" spans="1:6">
      <c r="A1264" t="s">
        <v>1337</v>
      </c>
      <c r="B1264" t="s">
        <v>2363</v>
      </c>
      <c r="C1264" t="s">
        <v>2364</v>
      </c>
      <c r="D1264" s="1">
        <v>46261</v>
      </c>
      <c r="E1264">
        <v>48436.39</v>
      </c>
      <c r="F1264" t="s">
        <v>9</v>
      </c>
    </row>
    <row r="1265" spans="1:6">
      <c r="A1265" t="s">
        <v>1337</v>
      </c>
      <c r="B1265" t="s">
        <v>2365</v>
      </c>
      <c r="C1265" t="s">
        <v>2366</v>
      </c>
      <c r="D1265" s="1">
        <v>46261</v>
      </c>
      <c r="E1265">
        <v>2000000</v>
      </c>
      <c r="F1265" t="s">
        <v>26</v>
      </c>
    </row>
    <row r="1266" spans="1:6">
      <c r="A1266" t="s">
        <v>1337</v>
      </c>
      <c r="B1266" t="s">
        <v>2367</v>
      </c>
      <c r="C1266" t="s">
        <v>2368</v>
      </c>
      <c r="D1266" s="1">
        <v>46261</v>
      </c>
      <c r="E1266">
        <v>96128.09</v>
      </c>
      <c r="F1266" t="s">
        <v>16</v>
      </c>
    </row>
    <row r="1267" spans="1:6">
      <c r="A1267" t="s">
        <v>1337</v>
      </c>
      <c r="B1267" t="s">
        <v>2369</v>
      </c>
      <c r="C1267" t="s">
        <v>2370</v>
      </c>
      <c r="D1267" s="1">
        <v>46261</v>
      </c>
      <c r="E1267">
        <v>194243.89</v>
      </c>
      <c r="F1267" t="s">
        <v>26</v>
      </c>
    </row>
    <row r="1268" spans="1:6">
      <c r="A1268" t="s">
        <v>1337</v>
      </c>
      <c r="B1268" t="s">
        <v>2371</v>
      </c>
      <c r="C1268" t="s">
        <v>2372</v>
      </c>
      <c r="D1268" s="1">
        <v>46261</v>
      </c>
      <c r="E1268">
        <v>196471.9</v>
      </c>
      <c r="F1268" t="s">
        <v>26</v>
      </c>
    </row>
    <row r="1269" spans="1:6">
      <c r="A1269" t="s">
        <v>1337</v>
      </c>
      <c r="B1269" t="s">
        <v>2373</v>
      </c>
      <c r="C1269" t="s">
        <v>2374</v>
      </c>
      <c r="D1269" s="1">
        <v>46261</v>
      </c>
      <c r="E1269">
        <v>16897.3</v>
      </c>
      <c r="F1269" t="s">
        <v>16</v>
      </c>
    </row>
    <row r="1270" spans="1:6">
      <c r="A1270" t="s">
        <v>1337</v>
      </c>
      <c r="B1270" t="s">
        <v>2375</v>
      </c>
      <c r="C1270" t="s">
        <v>2376</v>
      </c>
      <c r="D1270" s="1">
        <v>46261</v>
      </c>
      <c r="E1270">
        <v>83652.03</v>
      </c>
      <c r="F1270" t="s">
        <v>16</v>
      </c>
    </row>
    <row r="1271" spans="1:6">
      <c r="A1271" t="s">
        <v>1337</v>
      </c>
      <c r="B1271" t="s">
        <v>2377</v>
      </c>
      <c r="C1271" t="s">
        <v>2378</v>
      </c>
      <c r="D1271" s="1">
        <v>46261</v>
      </c>
      <c r="E1271">
        <v>196731.7</v>
      </c>
      <c r="F1271" t="s">
        <v>9</v>
      </c>
    </row>
    <row r="1272" spans="1:6">
      <c r="A1272" t="s">
        <v>1337</v>
      </c>
      <c r="B1272" t="s">
        <v>2379</v>
      </c>
      <c r="C1272" t="s">
        <v>2380</v>
      </c>
      <c r="D1272" s="1">
        <v>46261</v>
      </c>
      <c r="E1272">
        <v>11794.5</v>
      </c>
      <c r="F1272" t="s">
        <v>9</v>
      </c>
    </row>
    <row r="1273" spans="1:6">
      <c r="A1273" t="s">
        <v>1337</v>
      </c>
      <c r="B1273" t="s">
        <v>2381</v>
      </c>
      <c r="C1273" t="s">
        <v>2382</v>
      </c>
      <c r="D1273" s="1">
        <v>46261</v>
      </c>
      <c r="E1273">
        <v>417755.41</v>
      </c>
      <c r="F1273" t="s">
        <v>9</v>
      </c>
    </row>
    <row r="1274" spans="1:6">
      <c r="A1274" t="s">
        <v>1337</v>
      </c>
      <c r="B1274" t="s">
        <v>2383</v>
      </c>
      <c r="C1274" t="s">
        <v>2384</v>
      </c>
      <c r="D1274" s="1">
        <v>46261</v>
      </c>
      <c r="E1274">
        <v>36236.97</v>
      </c>
      <c r="F1274" t="s">
        <v>9</v>
      </c>
    </row>
    <row r="1275" spans="1:6">
      <c r="A1275" t="s">
        <v>1337</v>
      </c>
      <c r="B1275" t="s">
        <v>2385</v>
      </c>
      <c r="C1275" t="s">
        <v>2386</v>
      </c>
      <c r="D1275" s="1">
        <v>46261</v>
      </c>
      <c r="E1275">
        <v>141595.65</v>
      </c>
      <c r="F1275" t="s">
        <v>16</v>
      </c>
    </row>
    <row r="1276" spans="1:6">
      <c r="A1276" t="s">
        <v>1337</v>
      </c>
      <c r="B1276" t="s">
        <v>2387</v>
      </c>
      <c r="C1276" t="s">
        <v>2388</v>
      </c>
      <c r="D1276" s="1">
        <v>46261</v>
      </c>
      <c r="E1276">
        <v>54251.5</v>
      </c>
      <c r="F1276" t="s">
        <v>16</v>
      </c>
    </row>
    <row r="1277" spans="1:6">
      <c r="A1277" t="s">
        <v>1337</v>
      </c>
      <c r="B1277" t="s">
        <v>2389</v>
      </c>
      <c r="C1277" t="s">
        <v>2390</v>
      </c>
      <c r="D1277" s="1">
        <v>46261</v>
      </c>
      <c r="E1277">
        <v>38862.1</v>
      </c>
      <c r="F1277" t="s">
        <v>9</v>
      </c>
    </row>
    <row r="1278" spans="1:6">
      <c r="A1278" t="s">
        <v>1337</v>
      </c>
      <c r="B1278" t="s">
        <v>2391</v>
      </c>
      <c r="C1278" t="s">
        <v>2392</v>
      </c>
      <c r="D1278" s="1">
        <v>46261</v>
      </c>
      <c r="E1278">
        <v>59211.05</v>
      </c>
      <c r="F1278" t="s">
        <v>16</v>
      </c>
    </row>
    <row r="1279" spans="1:6">
      <c r="A1279" t="s">
        <v>1337</v>
      </c>
      <c r="B1279" t="s">
        <v>2393</v>
      </c>
      <c r="C1279" t="s">
        <v>2394</v>
      </c>
      <c r="D1279" s="1">
        <v>46261</v>
      </c>
      <c r="E1279">
        <v>16912.27</v>
      </c>
      <c r="F1279" t="s">
        <v>16</v>
      </c>
    </row>
    <row r="1280" spans="1:6">
      <c r="A1280" t="s">
        <v>1337</v>
      </c>
      <c r="B1280" t="s">
        <v>2395</v>
      </c>
      <c r="C1280" t="s">
        <v>2396</v>
      </c>
      <c r="D1280" s="1">
        <v>46262</v>
      </c>
      <c r="E1280">
        <v>658845.54</v>
      </c>
      <c r="F1280" t="s">
        <v>9</v>
      </c>
    </row>
    <row r="1281" spans="1:6">
      <c r="A1281" t="s">
        <v>1337</v>
      </c>
      <c r="B1281" t="s">
        <v>2397</v>
      </c>
      <c r="C1281" t="s">
        <v>2398</v>
      </c>
      <c r="D1281" s="1">
        <v>46262</v>
      </c>
      <c r="E1281">
        <v>162068.39000000001</v>
      </c>
      <c r="F1281" t="s">
        <v>9</v>
      </c>
    </row>
    <row r="1282" spans="1:6">
      <c r="A1282" t="s">
        <v>1337</v>
      </c>
      <c r="B1282" t="s">
        <v>2399</v>
      </c>
      <c r="C1282" t="s">
        <v>795</v>
      </c>
      <c r="D1282" s="1">
        <v>46262</v>
      </c>
      <c r="E1282">
        <v>36677.550000000003</v>
      </c>
      <c r="F1282" t="s">
        <v>9</v>
      </c>
    </row>
    <row r="1283" spans="1:6">
      <c r="A1283" t="s">
        <v>1337</v>
      </c>
      <c r="B1283" t="s">
        <v>2400</v>
      </c>
      <c r="C1283" t="s">
        <v>1991</v>
      </c>
      <c r="D1283" s="1">
        <v>46262</v>
      </c>
      <c r="E1283">
        <v>19299.580000000002</v>
      </c>
      <c r="F1283" t="s">
        <v>9</v>
      </c>
    </row>
    <row r="1284" spans="1:6">
      <c r="A1284" t="s">
        <v>1337</v>
      </c>
      <c r="B1284" t="s">
        <v>2401</v>
      </c>
      <c r="C1284" t="s">
        <v>1519</v>
      </c>
      <c r="D1284" s="1">
        <v>46262</v>
      </c>
      <c r="E1284">
        <v>237734.52</v>
      </c>
      <c r="F1284" t="s">
        <v>26</v>
      </c>
    </row>
    <row r="1285" spans="1:6">
      <c r="A1285" t="s">
        <v>1337</v>
      </c>
      <c r="B1285" t="s">
        <v>2402</v>
      </c>
      <c r="C1285" t="s">
        <v>2403</v>
      </c>
      <c r="D1285" s="1">
        <v>46262</v>
      </c>
      <c r="E1285">
        <v>645974.92000000004</v>
      </c>
      <c r="F1285" t="s">
        <v>9</v>
      </c>
    </row>
    <row r="1286" spans="1:6">
      <c r="A1286" t="s">
        <v>1337</v>
      </c>
      <c r="B1286" t="s">
        <v>2404</v>
      </c>
      <c r="C1286" t="s">
        <v>2405</v>
      </c>
      <c r="D1286" s="1">
        <v>46262</v>
      </c>
      <c r="E1286">
        <v>13435.21</v>
      </c>
      <c r="F1286" t="s">
        <v>16</v>
      </c>
    </row>
    <row r="1287" spans="1:6">
      <c r="A1287" t="s">
        <v>1337</v>
      </c>
      <c r="B1287" t="s">
        <v>2406</v>
      </c>
      <c r="C1287" t="s">
        <v>2407</v>
      </c>
      <c r="D1287" s="1">
        <v>46262</v>
      </c>
      <c r="E1287">
        <v>643134.42000000004</v>
      </c>
      <c r="F1287" t="s">
        <v>26</v>
      </c>
    </row>
    <row r="1288" spans="1:6">
      <c r="A1288" t="s">
        <v>1337</v>
      </c>
      <c r="B1288" t="s">
        <v>2408</v>
      </c>
      <c r="C1288" t="s">
        <v>2409</v>
      </c>
      <c r="D1288" s="1">
        <v>46262</v>
      </c>
      <c r="E1288">
        <v>330734.19</v>
      </c>
      <c r="F1288" t="s">
        <v>16</v>
      </c>
    </row>
    <row r="1289" spans="1:6">
      <c r="A1289" t="s">
        <v>1337</v>
      </c>
      <c r="B1289" t="s">
        <v>2410</v>
      </c>
      <c r="C1289" t="s">
        <v>2411</v>
      </c>
      <c r="D1289" s="1">
        <v>46262</v>
      </c>
      <c r="E1289">
        <v>671676.31</v>
      </c>
      <c r="F1289" t="s">
        <v>16</v>
      </c>
    </row>
    <row r="1290" spans="1:6">
      <c r="A1290" t="s">
        <v>1337</v>
      </c>
      <c r="B1290" t="s">
        <v>2412</v>
      </c>
      <c r="C1290" t="s">
        <v>2413</v>
      </c>
      <c r="D1290" s="1">
        <v>46262</v>
      </c>
      <c r="E1290">
        <v>469278.71999999997</v>
      </c>
      <c r="F1290" t="s">
        <v>16</v>
      </c>
    </row>
    <row r="1291" spans="1:6">
      <c r="A1291" t="s">
        <v>1337</v>
      </c>
      <c r="B1291" t="s">
        <v>2414</v>
      </c>
      <c r="C1291" t="s">
        <v>2415</v>
      </c>
      <c r="D1291" s="1">
        <v>46262</v>
      </c>
      <c r="E1291">
        <v>350001.05</v>
      </c>
      <c r="F1291" t="s">
        <v>26</v>
      </c>
    </row>
    <row r="1292" spans="1:6">
      <c r="A1292" t="s">
        <v>1337</v>
      </c>
      <c r="B1292" t="s">
        <v>2416</v>
      </c>
      <c r="C1292" t="s">
        <v>1724</v>
      </c>
      <c r="D1292" s="1">
        <v>46262</v>
      </c>
      <c r="E1292">
        <v>32245.26</v>
      </c>
      <c r="F1292" t="s">
        <v>9</v>
      </c>
    </row>
    <row r="1293" spans="1:6">
      <c r="A1293" t="s">
        <v>1337</v>
      </c>
      <c r="B1293" t="s">
        <v>2417</v>
      </c>
      <c r="C1293" t="s">
        <v>2229</v>
      </c>
      <c r="D1293" s="1">
        <v>46262</v>
      </c>
      <c r="E1293">
        <v>60077.06</v>
      </c>
      <c r="F1293" t="s">
        <v>16</v>
      </c>
    </row>
    <row r="1294" spans="1:6">
      <c r="A1294" t="s">
        <v>1337</v>
      </c>
      <c r="B1294" t="s">
        <v>2418</v>
      </c>
      <c r="C1294" t="s">
        <v>2419</v>
      </c>
      <c r="D1294" s="1">
        <v>46262</v>
      </c>
      <c r="E1294">
        <v>32069.57</v>
      </c>
      <c r="F1294" t="s">
        <v>26</v>
      </c>
    </row>
    <row r="1295" spans="1:6">
      <c r="A1295" t="s">
        <v>1337</v>
      </c>
      <c r="B1295" t="s">
        <v>2420</v>
      </c>
      <c r="C1295" t="s">
        <v>2421</v>
      </c>
      <c r="D1295" s="1">
        <v>46262</v>
      </c>
      <c r="E1295">
        <v>3555.47</v>
      </c>
      <c r="F1295" t="s">
        <v>9</v>
      </c>
    </row>
    <row r="1296" spans="1:6">
      <c r="A1296" t="s">
        <v>1337</v>
      </c>
      <c r="B1296" t="s">
        <v>2422</v>
      </c>
      <c r="C1296" t="s">
        <v>2423</v>
      </c>
      <c r="D1296" s="1">
        <v>46262</v>
      </c>
      <c r="E1296">
        <v>142559.67999999999</v>
      </c>
      <c r="F1296" t="s">
        <v>16</v>
      </c>
    </row>
    <row r="1297" spans="1:6">
      <c r="A1297" t="s">
        <v>1337</v>
      </c>
      <c r="B1297" t="s">
        <v>2424</v>
      </c>
      <c r="C1297" t="s">
        <v>2425</v>
      </c>
      <c r="D1297" s="1">
        <v>46262</v>
      </c>
      <c r="E1297">
        <v>86145.56</v>
      </c>
      <c r="F1297" t="s">
        <v>9</v>
      </c>
    </row>
    <row r="1298" spans="1:6">
      <c r="A1298" t="s">
        <v>1337</v>
      </c>
      <c r="B1298" t="s">
        <v>2426</v>
      </c>
      <c r="C1298" t="s">
        <v>2427</v>
      </c>
      <c r="D1298" s="1">
        <v>46262</v>
      </c>
      <c r="E1298">
        <v>220143.09</v>
      </c>
      <c r="F1298" t="s">
        <v>16</v>
      </c>
    </row>
    <row r="1299" spans="1:6">
      <c r="A1299" t="s">
        <v>1337</v>
      </c>
      <c r="B1299" t="s">
        <v>2428</v>
      </c>
      <c r="C1299" t="s">
        <v>2429</v>
      </c>
      <c r="D1299" s="1">
        <v>46263</v>
      </c>
      <c r="E1299">
        <v>1205777.1200000001</v>
      </c>
      <c r="F1299" t="s">
        <v>16</v>
      </c>
    </row>
    <row r="1300" spans="1:6">
      <c r="A1300" t="s">
        <v>1337</v>
      </c>
      <c r="B1300" t="s">
        <v>2430</v>
      </c>
      <c r="C1300" t="s">
        <v>2431</v>
      </c>
      <c r="D1300" s="1">
        <v>46263</v>
      </c>
      <c r="E1300">
        <v>768460.32</v>
      </c>
      <c r="F1300" t="s">
        <v>16</v>
      </c>
    </row>
    <row r="1301" spans="1:6">
      <c r="A1301" t="s">
        <v>1337</v>
      </c>
      <c r="B1301" t="s">
        <v>2432</v>
      </c>
      <c r="C1301" t="s">
        <v>2433</v>
      </c>
      <c r="D1301" s="1">
        <v>46263</v>
      </c>
      <c r="E1301">
        <v>63098.81</v>
      </c>
      <c r="F1301" t="s">
        <v>16</v>
      </c>
    </row>
    <row r="1302" spans="1:6">
      <c r="A1302" t="s">
        <v>1337</v>
      </c>
      <c r="B1302" t="s">
        <v>2434</v>
      </c>
      <c r="C1302" t="s">
        <v>2435</v>
      </c>
      <c r="D1302" s="1">
        <v>46263</v>
      </c>
      <c r="E1302">
        <v>95946.51</v>
      </c>
      <c r="F1302" t="s">
        <v>9</v>
      </c>
    </row>
    <row r="1303" spans="1:6">
      <c r="A1303" t="s">
        <v>1337</v>
      </c>
      <c r="B1303" t="s">
        <v>2436</v>
      </c>
      <c r="C1303" t="s">
        <v>2437</v>
      </c>
      <c r="D1303" s="1">
        <v>46263</v>
      </c>
      <c r="E1303">
        <v>50616.66</v>
      </c>
      <c r="F1303" t="s">
        <v>9</v>
      </c>
    </row>
    <row r="1304" spans="1:6">
      <c r="A1304" t="s">
        <v>1337</v>
      </c>
      <c r="B1304" t="s">
        <v>2438</v>
      </c>
      <c r="C1304" t="s">
        <v>2405</v>
      </c>
      <c r="D1304" s="1">
        <v>46263</v>
      </c>
      <c r="E1304">
        <v>12115.56</v>
      </c>
      <c r="F1304" t="s">
        <v>9</v>
      </c>
    </row>
    <row r="1305" spans="1:6">
      <c r="A1305" t="s">
        <v>1337</v>
      </c>
      <c r="B1305" t="s">
        <v>2439</v>
      </c>
      <c r="C1305" t="s">
        <v>2440</v>
      </c>
      <c r="D1305" s="1">
        <v>46263</v>
      </c>
      <c r="E1305">
        <v>305662.87</v>
      </c>
      <c r="F1305" t="s">
        <v>16</v>
      </c>
    </row>
    <row r="1306" spans="1:6">
      <c r="A1306" t="s">
        <v>1337</v>
      </c>
      <c r="B1306" t="s">
        <v>2441</v>
      </c>
      <c r="C1306" t="s">
        <v>2442</v>
      </c>
      <c r="D1306" s="1">
        <v>46263</v>
      </c>
      <c r="E1306">
        <v>461416.71</v>
      </c>
      <c r="F1306" t="s">
        <v>9</v>
      </c>
    </row>
    <row r="1307" spans="1:6">
      <c r="A1307" t="s">
        <v>1337</v>
      </c>
      <c r="B1307" t="s">
        <v>2443</v>
      </c>
      <c r="C1307" t="s">
        <v>2444</v>
      </c>
      <c r="D1307" s="1">
        <v>46263</v>
      </c>
      <c r="E1307">
        <v>33413.050000000003</v>
      </c>
      <c r="F1307" t="s">
        <v>16</v>
      </c>
    </row>
    <row r="1308" spans="1:6">
      <c r="A1308" t="s">
        <v>1337</v>
      </c>
      <c r="B1308" t="s">
        <v>2445</v>
      </c>
      <c r="C1308" t="s">
        <v>2446</v>
      </c>
      <c r="D1308" s="1">
        <v>46263</v>
      </c>
      <c r="E1308">
        <v>69713.3</v>
      </c>
      <c r="F1308" t="s">
        <v>9</v>
      </c>
    </row>
    <row r="1309" spans="1:6">
      <c r="A1309" t="s">
        <v>1337</v>
      </c>
      <c r="B1309" t="s">
        <v>2447</v>
      </c>
      <c r="C1309" t="s">
        <v>2448</v>
      </c>
      <c r="D1309" s="1">
        <v>46263</v>
      </c>
      <c r="E1309">
        <v>383836.89</v>
      </c>
      <c r="F1309" t="s">
        <v>16</v>
      </c>
    </row>
    <row r="1310" spans="1:6">
      <c r="A1310" t="s">
        <v>1337</v>
      </c>
      <c r="B1310" t="s">
        <v>2449</v>
      </c>
      <c r="C1310" t="s">
        <v>2450</v>
      </c>
      <c r="D1310" s="1">
        <v>46263</v>
      </c>
      <c r="E1310">
        <v>28947.58</v>
      </c>
      <c r="F1310" t="s">
        <v>9</v>
      </c>
    </row>
    <row r="1311" spans="1:6">
      <c r="A1311" t="s">
        <v>1337</v>
      </c>
      <c r="B1311" t="s">
        <v>2451</v>
      </c>
      <c r="C1311" t="s">
        <v>2452</v>
      </c>
      <c r="D1311" s="1">
        <v>46263</v>
      </c>
      <c r="E1311">
        <v>61980.55</v>
      </c>
      <c r="F1311" t="s">
        <v>9</v>
      </c>
    </row>
    <row r="1312" spans="1:6">
      <c r="A1312" t="s">
        <v>1337</v>
      </c>
      <c r="B1312" t="s">
        <v>2453</v>
      </c>
      <c r="C1312" t="s">
        <v>2454</v>
      </c>
      <c r="D1312" s="1">
        <v>46263</v>
      </c>
      <c r="E1312">
        <v>603638.18000000005</v>
      </c>
      <c r="F1312" t="s">
        <v>9</v>
      </c>
    </row>
    <row r="1313" spans="1:6">
      <c r="A1313" t="s">
        <v>1337</v>
      </c>
      <c r="B1313" t="s">
        <v>2455</v>
      </c>
      <c r="C1313" t="s">
        <v>2456</v>
      </c>
      <c r="D1313" s="1">
        <v>46264</v>
      </c>
      <c r="E1313">
        <v>629125.32999999996</v>
      </c>
      <c r="F1313" t="s">
        <v>16</v>
      </c>
    </row>
    <row r="1314" spans="1:6">
      <c r="A1314" t="s">
        <v>1337</v>
      </c>
      <c r="B1314" t="s">
        <v>2457</v>
      </c>
      <c r="C1314" t="s">
        <v>2458</v>
      </c>
      <c r="D1314" s="1">
        <v>46264</v>
      </c>
      <c r="E1314">
        <v>677358.32</v>
      </c>
      <c r="F1314" t="s">
        <v>9</v>
      </c>
    </row>
    <row r="1315" spans="1:6">
      <c r="A1315" t="s">
        <v>1337</v>
      </c>
      <c r="B1315" t="s">
        <v>2459</v>
      </c>
      <c r="C1315" t="s">
        <v>2460</v>
      </c>
      <c r="D1315" s="1">
        <v>46264</v>
      </c>
      <c r="E1315">
        <v>1037429.25</v>
      </c>
      <c r="F1315" t="s">
        <v>9</v>
      </c>
    </row>
    <row r="1316" spans="1:6">
      <c r="A1316" t="s">
        <v>1337</v>
      </c>
      <c r="B1316" t="s">
        <v>2461</v>
      </c>
      <c r="C1316" t="s">
        <v>2462</v>
      </c>
      <c r="D1316" s="1">
        <v>46264</v>
      </c>
      <c r="E1316">
        <v>16083.2</v>
      </c>
      <c r="F1316" t="s">
        <v>9</v>
      </c>
    </row>
    <row r="1317" spans="1:6">
      <c r="A1317" t="s">
        <v>1337</v>
      </c>
      <c r="B1317" t="s">
        <v>2463</v>
      </c>
      <c r="C1317" t="s">
        <v>2464</v>
      </c>
      <c r="D1317" s="1">
        <v>46264</v>
      </c>
      <c r="E1317">
        <v>11940.8</v>
      </c>
      <c r="F1317" t="s">
        <v>16</v>
      </c>
    </row>
    <row r="1318" spans="1:6">
      <c r="A1318" t="s">
        <v>1337</v>
      </c>
      <c r="B1318" t="s">
        <v>2465</v>
      </c>
      <c r="C1318" t="s">
        <v>2466</v>
      </c>
      <c r="D1318" s="1">
        <v>46264</v>
      </c>
      <c r="E1318">
        <v>95766.06</v>
      </c>
      <c r="F1318" t="s">
        <v>16</v>
      </c>
    </row>
    <row r="1319" spans="1:6">
      <c r="A1319" t="s">
        <v>1337</v>
      </c>
      <c r="B1319" t="s">
        <v>2467</v>
      </c>
      <c r="C1319" t="s">
        <v>2468</v>
      </c>
      <c r="D1319" s="1">
        <v>46264</v>
      </c>
      <c r="E1319">
        <v>28476</v>
      </c>
      <c r="F1319" t="s">
        <v>9</v>
      </c>
    </row>
    <row r="1320" spans="1:6">
      <c r="A1320" t="s">
        <v>1337</v>
      </c>
      <c r="B1320" t="s">
        <v>2469</v>
      </c>
      <c r="C1320" t="s">
        <v>1674</v>
      </c>
      <c r="D1320" s="1">
        <v>46264</v>
      </c>
      <c r="E1320">
        <v>64137.95</v>
      </c>
      <c r="F1320" t="s">
        <v>9</v>
      </c>
    </row>
    <row r="1321" spans="1:6">
      <c r="A1321" t="s">
        <v>1337</v>
      </c>
      <c r="B1321" t="s">
        <v>2470</v>
      </c>
      <c r="C1321" t="s">
        <v>1754</v>
      </c>
      <c r="D1321" s="1">
        <v>46264</v>
      </c>
      <c r="E1321">
        <v>20257.54</v>
      </c>
      <c r="F1321" t="s">
        <v>9</v>
      </c>
    </row>
    <row r="1322" spans="1:6">
      <c r="A1322" t="s">
        <v>1337</v>
      </c>
      <c r="B1322" t="s">
        <v>2471</v>
      </c>
      <c r="C1322" t="s">
        <v>2472</v>
      </c>
      <c r="D1322" s="1">
        <v>46264</v>
      </c>
      <c r="E1322">
        <v>24034.41</v>
      </c>
      <c r="F1322" t="s">
        <v>9</v>
      </c>
    </row>
    <row r="1323" spans="1:6">
      <c r="A1323" t="s">
        <v>1337</v>
      </c>
      <c r="B1323" t="s">
        <v>2473</v>
      </c>
      <c r="C1323" t="s">
        <v>2474</v>
      </c>
      <c r="D1323" s="1">
        <v>46264</v>
      </c>
      <c r="E1323">
        <v>146499.17000000001</v>
      </c>
      <c r="F1323" t="s">
        <v>16</v>
      </c>
    </row>
    <row r="1324" spans="1:6">
      <c r="A1324" t="s">
        <v>1337</v>
      </c>
      <c r="B1324" t="s">
        <v>2475</v>
      </c>
      <c r="C1324" t="s">
        <v>2331</v>
      </c>
      <c r="D1324" s="1">
        <v>46264</v>
      </c>
      <c r="E1324">
        <v>46200.75</v>
      </c>
      <c r="F1324" t="s">
        <v>26</v>
      </c>
    </row>
    <row r="1325" spans="1:6">
      <c r="A1325" t="s">
        <v>1337</v>
      </c>
      <c r="B1325" t="s">
        <v>2476</v>
      </c>
      <c r="C1325" t="s">
        <v>2477</v>
      </c>
      <c r="D1325" s="1">
        <v>46264</v>
      </c>
      <c r="E1325">
        <v>71466.899999999994</v>
      </c>
      <c r="F1325" t="s">
        <v>16</v>
      </c>
    </row>
    <row r="1326" spans="1:6">
      <c r="A1326" t="s">
        <v>1337</v>
      </c>
      <c r="B1326" t="s">
        <v>2478</v>
      </c>
      <c r="C1326" t="s">
        <v>2479</v>
      </c>
      <c r="D1326" s="1">
        <v>46264</v>
      </c>
      <c r="E1326">
        <v>29440.55</v>
      </c>
      <c r="F1326" t="s">
        <v>9</v>
      </c>
    </row>
    <row r="1327" spans="1:6">
      <c r="A1327" t="s">
        <v>1337</v>
      </c>
      <c r="B1327" t="s">
        <v>2480</v>
      </c>
      <c r="C1327" t="s">
        <v>2481</v>
      </c>
      <c r="D1327" s="1">
        <v>46264</v>
      </c>
      <c r="E1327">
        <v>361258.04</v>
      </c>
      <c r="F1327" t="s">
        <v>16</v>
      </c>
    </row>
    <row r="1328" spans="1:6">
      <c r="A1328" t="s">
        <v>1337</v>
      </c>
      <c r="B1328" t="s">
        <v>2482</v>
      </c>
      <c r="C1328" t="s">
        <v>2280</v>
      </c>
      <c r="D1328" s="1">
        <v>46264</v>
      </c>
      <c r="E1328">
        <v>1036040.38</v>
      </c>
      <c r="F1328" t="s">
        <v>9</v>
      </c>
    </row>
    <row r="1329" spans="1:6">
      <c r="A1329" t="s">
        <v>1337</v>
      </c>
      <c r="B1329" t="s">
        <v>2483</v>
      </c>
      <c r="C1329" t="s">
        <v>2484</v>
      </c>
      <c r="D1329" s="1">
        <v>46264</v>
      </c>
      <c r="E1329">
        <v>132203.70000000001</v>
      </c>
      <c r="F1329" t="s">
        <v>16</v>
      </c>
    </row>
    <row r="1330" spans="1:6">
      <c r="A1330" t="s">
        <v>1337</v>
      </c>
      <c r="B1330" t="s">
        <v>2485</v>
      </c>
      <c r="C1330" t="s">
        <v>2486</v>
      </c>
      <c r="D1330" s="1">
        <v>46264</v>
      </c>
      <c r="E1330">
        <v>57552.4</v>
      </c>
      <c r="F1330" t="s">
        <v>9</v>
      </c>
    </row>
    <row r="1331" spans="1:6">
      <c r="A1331" t="s">
        <v>1337</v>
      </c>
      <c r="B1331" t="s">
        <v>2487</v>
      </c>
      <c r="C1331" t="s">
        <v>2488</v>
      </c>
      <c r="D1331" s="1">
        <v>46264</v>
      </c>
      <c r="E1331">
        <v>71698.33</v>
      </c>
      <c r="F1331" t="s">
        <v>9</v>
      </c>
    </row>
    <row r="1332" spans="1:6">
      <c r="A1332" t="s">
        <v>1337</v>
      </c>
      <c r="B1332" t="s">
        <v>2489</v>
      </c>
      <c r="C1332" t="s">
        <v>2490</v>
      </c>
      <c r="D1332" s="1">
        <v>46264</v>
      </c>
      <c r="E1332">
        <v>180652.27</v>
      </c>
      <c r="F1332" t="s">
        <v>26</v>
      </c>
    </row>
    <row r="1333" spans="1:6">
      <c r="A1333" t="s">
        <v>1337</v>
      </c>
      <c r="B1333" t="s">
        <v>2491</v>
      </c>
      <c r="C1333" t="s">
        <v>2492</v>
      </c>
      <c r="D1333" s="1">
        <v>46264</v>
      </c>
      <c r="E1333">
        <v>7754.04</v>
      </c>
      <c r="F1333" t="s">
        <v>9</v>
      </c>
    </row>
    <row r="1334" spans="1:6">
      <c r="A1334" t="s">
        <v>1337</v>
      </c>
      <c r="B1334" t="s">
        <v>2493</v>
      </c>
      <c r="C1334" t="s">
        <v>2494</v>
      </c>
      <c r="D1334" s="1">
        <v>46264</v>
      </c>
      <c r="E1334">
        <v>78395.87</v>
      </c>
      <c r="F1334" t="s">
        <v>26</v>
      </c>
    </row>
    <row r="1335" spans="1:6">
      <c r="A1335" t="s">
        <v>1337</v>
      </c>
      <c r="B1335" t="s">
        <v>2495</v>
      </c>
      <c r="C1335" t="s">
        <v>2496</v>
      </c>
      <c r="D1335" s="1">
        <v>46264</v>
      </c>
      <c r="E1335">
        <v>211482.98</v>
      </c>
      <c r="F1335" t="s">
        <v>16</v>
      </c>
    </row>
    <row r="1336" spans="1:6">
      <c r="A1336" t="s">
        <v>1337</v>
      </c>
      <c r="B1336" t="s">
        <v>2497</v>
      </c>
      <c r="C1336" t="s">
        <v>2498</v>
      </c>
      <c r="D1336" s="1">
        <v>46265</v>
      </c>
      <c r="E1336">
        <v>1028441.01</v>
      </c>
      <c r="F1336" t="s">
        <v>16</v>
      </c>
    </row>
    <row r="1337" spans="1:6">
      <c r="A1337" t="s">
        <v>1337</v>
      </c>
      <c r="B1337" t="s">
        <v>2499</v>
      </c>
      <c r="C1337" t="s">
        <v>2500</v>
      </c>
      <c r="D1337" s="1">
        <v>46265</v>
      </c>
      <c r="E1337">
        <v>54508.7</v>
      </c>
      <c r="F1337" t="s">
        <v>26</v>
      </c>
    </row>
    <row r="1338" spans="1:6">
      <c r="A1338" t="s">
        <v>1337</v>
      </c>
      <c r="B1338" t="s">
        <v>2501</v>
      </c>
      <c r="C1338" t="s">
        <v>2502</v>
      </c>
      <c r="D1338" s="1">
        <v>46265</v>
      </c>
      <c r="E1338">
        <v>10016.86</v>
      </c>
      <c r="F1338" t="s">
        <v>26</v>
      </c>
    </row>
    <row r="1339" spans="1:6">
      <c r="A1339" t="s">
        <v>1337</v>
      </c>
      <c r="B1339" t="s">
        <v>2503</v>
      </c>
      <c r="C1339" t="s">
        <v>1387</v>
      </c>
      <c r="D1339" s="1">
        <v>46265</v>
      </c>
      <c r="E1339">
        <v>185592.97</v>
      </c>
      <c r="F1339" t="s">
        <v>9</v>
      </c>
    </row>
    <row r="1340" spans="1:6">
      <c r="A1340" t="s">
        <v>1337</v>
      </c>
      <c r="B1340" t="s">
        <v>2504</v>
      </c>
      <c r="C1340" t="s">
        <v>2505</v>
      </c>
      <c r="D1340" s="1">
        <v>46265</v>
      </c>
      <c r="E1340">
        <v>641961.55000000005</v>
      </c>
      <c r="F1340" t="s">
        <v>9</v>
      </c>
    </row>
    <row r="1341" spans="1:6">
      <c r="A1341" t="s">
        <v>1337</v>
      </c>
      <c r="B1341" t="s">
        <v>2506</v>
      </c>
      <c r="C1341" t="s">
        <v>2507</v>
      </c>
      <c r="D1341" s="1">
        <v>46265</v>
      </c>
      <c r="E1341">
        <v>236150.73</v>
      </c>
      <c r="F1341" t="s">
        <v>26</v>
      </c>
    </row>
    <row r="1342" spans="1:6">
      <c r="A1342" t="s">
        <v>1337</v>
      </c>
      <c r="B1342" t="s">
        <v>2508</v>
      </c>
      <c r="C1342" t="s">
        <v>2509</v>
      </c>
      <c r="D1342" s="1">
        <v>46265</v>
      </c>
      <c r="E1342">
        <v>189288.77</v>
      </c>
      <c r="F1342" t="s">
        <v>9</v>
      </c>
    </row>
    <row r="1343" spans="1:6">
      <c r="A1343" t="s">
        <v>1337</v>
      </c>
      <c r="B1343" t="s">
        <v>2510</v>
      </c>
      <c r="C1343" t="s">
        <v>2511</v>
      </c>
      <c r="D1343" s="1">
        <v>46265</v>
      </c>
      <c r="E1343">
        <v>284617.7</v>
      </c>
      <c r="F1343" t="s">
        <v>9</v>
      </c>
    </row>
    <row r="1344" spans="1:6">
      <c r="A1344" t="s">
        <v>1337</v>
      </c>
      <c r="B1344" t="s">
        <v>2512</v>
      </c>
      <c r="C1344" t="s">
        <v>1680</v>
      </c>
      <c r="D1344" s="1">
        <v>46265</v>
      </c>
      <c r="E1344">
        <v>2599.36</v>
      </c>
      <c r="F1344" t="s">
        <v>26</v>
      </c>
    </row>
    <row r="1345" spans="1:6">
      <c r="A1345" t="s">
        <v>1337</v>
      </c>
      <c r="B1345" t="s">
        <v>2513</v>
      </c>
      <c r="C1345" t="s">
        <v>2514</v>
      </c>
      <c r="D1345" s="1">
        <v>46265</v>
      </c>
      <c r="E1345">
        <v>145689.60999999999</v>
      </c>
      <c r="F1345" t="s">
        <v>9</v>
      </c>
    </row>
    <row r="1346" spans="1:6">
      <c r="A1346" t="s">
        <v>1337</v>
      </c>
      <c r="B1346" t="s">
        <v>2515</v>
      </c>
      <c r="C1346" t="s">
        <v>2516</v>
      </c>
      <c r="D1346" s="1">
        <v>46265</v>
      </c>
      <c r="E1346">
        <v>698487.39</v>
      </c>
      <c r="F1346" t="s">
        <v>9</v>
      </c>
    </row>
    <row r="1347" spans="1:6">
      <c r="A1347" t="s">
        <v>1337</v>
      </c>
      <c r="B1347" t="s">
        <v>2517</v>
      </c>
      <c r="C1347" t="s">
        <v>2518</v>
      </c>
      <c r="D1347" s="1">
        <v>46265</v>
      </c>
      <c r="E1347">
        <v>850334.92</v>
      </c>
      <c r="F1347" t="s">
        <v>26</v>
      </c>
    </row>
    <row r="1348" spans="1:6">
      <c r="A1348" t="s">
        <v>1337</v>
      </c>
      <c r="B1348" t="s">
        <v>2519</v>
      </c>
      <c r="C1348" t="s">
        <v>1963</v>
      </c>
      <c r="D1348" s="1">
        <v>46265</v>
      </c>
      <c r="E1348">
        <v>17981.5</v>
      </c>
      <c r="F1348" t="s">
        <v>26</v>
      </c>
    </row>
    <row r="1349" spans="1:6">
      <c r="A1349" t="s">
        <v>1337</v>
      </c>
      <c r="B1349" t="s">
        <v>2520</v>
      </c>
      <c r="C1349" t="s">
        <v>2089</v>
      </c>
      <c r="D1349" s="1">
        <v>46265</v>
      </c>
      <c r="E1349">
        <v>96756.84</v>
      </c>
      <c r="F1349" t="s">
        <v>9</v>
      </c>
    </row>
    <row r="1350" spans="1:6">
      <c r="A1350" t="s">
        <v>1337</v>
      </c>
      <c r="B1350" t="s">
        <v>2521</v>
      </c>
      <c r="C1350" t="s">
        <v>2522</v>
      </c>
      <c r="D1350" s="1">
        <v>46265</v>
      </c>
      <c r="E1350">
        <v>61723.37</v>
      </c>
      <c r="F1350" t="s">
        <v>26</v>
      </c>
    </row>
    <row r="1351" spans="1:6">
      <c r="A1351" t="s">
        <v>1337</v>
      </c>
      <c r="B1351" t="s">
        <v>2523</v>
      </c>
      <c r="C1351" t="s">
        <v>2524</v>
      </c>
      <c r="D1351" s="1">
        <v>46265</v>
      </c>
      <c r="E1351">
        <v>129006.69</v>
      </c>
      <c r="F1351" t="s">
        <v>26</v>
      </c>
    </row>
    <row r="1352" spans="1:6">
      <c r="A1352" t="s">
        <v>1337</v>
      </c>
      <c r="B1352" t="s">
        <v>2525</v>
      </c>
      <c r="C1352" t="s">
        <v>2526</v>
      </c>
      <c r="D1352" s="1">
        <v>46265</v>
      </c>
      <c r="E1352">
        <v>1375753.27</v>
      </c>
      <c r="F1352" t="s">
        <v>9</v>
      </c>
    </row>
    <row r="1353" spans="1:6">
      <c r="A1353" t="s">
        <v>1337</v>
      </c>
      <c r="B1353" t="s">
        <v>2527</v>
      </c>
      <c r="C1353" t="s">
        <v>2528</v>
      </c>
      <c r="D1353" s="1">
        <v>46265</v>
      </c>
      <c r="E1353">
        <v>712354.53</v>
      </c>
      <c r="F1353" t="s">
        <v>26</v>
      </c>
    </row>
    <row r="1354" spans="1:6">
      <c r="A1354" t="s">
        <v>1337</v>
      </c>
      <c r="B1354" t="s">
        <v>2529</v>
      </c>
      <c r="C1354" t="s">
        <v>2530</v>
      </c>
      <c r="D1354" s="1">
        <v>46265</v>
      </c>
      <c r="E1354">
        <v>650089.53</v>
      </c>
      <c r="F1354" t="s">
        <v>9</v>
      </c>
    </row>
    <row r="1355" spans="1:6">
      <c r="A1355" t="s">
        <v>1337</v>
      </c>
      <c r="B1355" t="s">
        <v>2531</v>
      </c>
      <c r="C1355" t="s">
        <v>2532</v>
      </c>
      <c r="D1355" s="1">
        <v>46265</v>
      </c>
      <c r="E1355">
        <v>29254.6</v>
      </c>
      <c r="F1355" t="s">
        <v>9</v>
      </c>
    </row>
    <row r="1356" spans="1:6">
      <c r="A1356" t="s">
        <v>1337</v>
      </c>
      <c r="B1356" t="s">
        <v>2533</v>
      </c>
      <c r="C1356" t="s">
        <v>2534</v>
      </c>
      <c r="D1356" s="1">
        <v>46265</v>
      </c>
      <c r="E1356">
        <v>241231.04</v>
      </c>
      <c r="F1356" t="s">
        <v>16</v>
      </c>
    </row>
    <row r="1357" spans="1:6">
      <c r="A1357" t="s">
        <v>1337</v>
      </c>
      <c r="B1357" t="s">
        <v>2535</v>
      </c>
      <c r="C1357" t="s">
        <v>2536</v>
      </c>
      <c r="D1357" s="1">
        <v>46265</v>
      </c>
      <c r="E1357">
        <v>60702.1</v>
      </c>
      <c r="F1357" t="s">
        <v>26</v>
      </c>
    </row>
    <row r="1358" spans="1:6">
      <c r="A1358" t="s">
        <v>1337</v>
      </c>
      <c r="B1358" t="s">
        <v>2537</v>
      </c>
      <c r="C1358" t="s">
        <v>2538</v>
      </c>
      <c r="D1358" s="1">
        <v>46265</v>
      </c>
      <c r="E1358">
        <v>141714.6</v>
      </c>
      <c r="F1358" t="s">
        <v>9</v>
      </c>
    </row>
    <row r="1359" spans="1:6">
      <c r="A1359" t="s">
        <v>1337</v>
      </c>
      <c r="B1359" t="s">
        <v>2539</v>
      </c>
      <c r="C1359" t="s">
        <v>2496</v>
      </c>
      <c r="D1359" s="1">
        <v>46265</v>
      </c>
      <c r="E1359">
        <v>458079.42</v>
      </c>
      <c r="F1359" t="s">
        <v>16</v>
      </c>
    </row>
    <row r="1360" spans="1:6">
      <c r="A1360" t="s">
        <v>1337</v>
      </c>
      <c r="B1360" t="s">
        <v>2540</v>
      </c>
      <c r="C1360" t="s">
        <v>2541</v>
      </c>
      <c r="D1360" s="1">
        <v>46265</v>
      </c>
      <c r="E1360">
        <v>149119.99</v>
      </c>
      <c r="F1360" t="s">
        <v>9</v>
      </c>
    </row>
    <row r="1361" spans="1:6">
      <c r="A1361" t="s">
        <v>1337</v>
      </c>
      <c r="B1361" t="s">
        <v>2542</v>
      </c>
      <c r="C1361" t="s">
        <v>2543</v>
      </c>
      <c r="D1361" s="1">
        <v>46265</v>
      </c>
      <c r="E1361">
        <v>25346.78</v>
      </c>
      <c r="F1361" t="s">
        <v>9</v>
      </c>
    </row>
    <row r="1362" spans="1:6">
      <c r="A1362" t="s">
        <v>1337</v>
      </c>
      <c r="B1362" t="s">
        <v>2544</v>
      </c>
      <c r="C1362" t="s">
        <v>2545</v>
      </c>
      <c r="D1362" s="1">
        <v>46243</v>
      </c>
      <c r="E1362">
        <v>262774.07</v>
      </c>
      <c r="F1362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50FB-8B59-4294-808F-EC41F825B2A4}">
  <dimension ref="A1:D4"/>
  <sheetViews>
    <sheetView workbookViewId="0">
      <selection activeCell="F22" sqref="F22"/>
    </sheetView>
  </sheetViews>
  <sheetFormatPr defaultRowHeight="15"/>
  <cols>
    <col min="1" max="1" width="14.5703125" bestFit="1" customWidth="1"/>
    <col min="2" max="2" width="12.28515625" customWidth="1"/>
    <col min="3" max="3" width="6.5703125" bestFit="1" customWidth="1"/>
    <col min="4" max="4" width="6.42578125" bestFit="1" customWidth="1"/>
  </cols>
  <sheetData>
    <row r="1" spans="1:4">
      <c r="A1" t="s">
        <v>2961</v>
      </c>
      <c r="B1" t="s">
        <v>2962</v>
      </c>
      <c r="C1" t="s">
        <v>2963</v>
      </c>
      <c r="D1" t="s">
        <v>2964</v>
      </c>
    </row>
    <row r="2" spans="1:4">
      <c r="A2" t="s">
        <v>2965</v>
      </c>
      <c r="B2" s="6">
        <f>SUM(Invoices_Clean[totalpaid])/SUM(Invoices_Clean[InvoiceAmount])</f>
        <v>0.67529499625088629</v>
      </c>
      <c r="C2" s="6">
        <v>0.3</v>
      </c>
      <c r="D2" t="str">
        <f>IF(B2&gt;=C2,"Green",IF(B2&gt;=C2*0.9,"Amber","Red"))</f>
        <v>Green</v>
      </c>
    </row>
    <row r="3" spans="1:4">
      <c r="A3" t="s">
        <v>2966</v>
      </c>
      <c r="B3" s="6">
        <f>SUMIFS(Invoices_Clean[outstanding],Invoices_Clean[[Bucket ]],"&lt;&gt;Settled",Invoices_Clean[[Bucket ]],"&lt;&gt;Current")/SUMIFS(Invoices_Clean[outstanding],Invoices_Clean[[Bucket ]],"&lt;&gt;Settled")</f>
        <v>0.34684792687501731</v>
      </c>
      <c r="C3" s="6">
        <v>0.4</v>
      </c>
      <c r="D3" t="str">
        <f>IF(B3&lt;=C3,"Green",IF(B3&lt;=C3*1.1,"Amber","Red"))</f>
        <v>Green</v>
      </c>
    </row>
    <row r="4" spans="1:4">
      <c r="A4" s="5" t="s">
        <v>2967</v>
      </c>
      <c r="B4" s="4">
        <f>SUM(Invoices_Clean[outstanding])/SUM(Invoices_Clean[InvoiceAmount])*153</f>
        <v>49.6798655736144</v>
      </c>
      <c r="C4">
        <v>50</v>
      </c>
      <c r="D4" t="str">
        <f>IF(B4&lt;=C4,"Green",IF(B4&lt;=C4*1.1,"Amber","Red"))</f>
        <v>Green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3021-86BD-40FA-A2F5-6A0E7DD0B132}">
  <dimension ref="A3:C15"/>
  <sheetViews>
    <sheetView workbookViewId="0">
      <selection activeCell="C20" sqref="C20"/>
    </sheetView>
  </sheetViews>
  <sheetFormatPr defaultRowHeight="15"/>
  <cols>
    <col min="1" max="1" width="15.7109375" bestFit="1" customWidth="1"/>
    <col min="2" max="2" width="17.5703125" bestFit="1" customWidth="1"/>
    <col min="3" max="4" width="21.5703125" bestFit="1" customWidth="1"/>
  </cols>
  <sheetData>
    <row r="3" spans="1:3">
      <c r="A3" s="2" t="s">
        <v>2955</v>
      </c>
      <c r="B3" t="s">
        <v>2957</v>
      </c>
      <c r="C3" t="s">
        <v>2958</v>
      </c>
    </row>
    <row r="4" spans="1:3">
      <c r="A4" s="3" t="s">
        <v>2647</v>
      </c>
      <c r="B4">
        <v>80</v>
      </c>
      <c r="C4" s="4">
        <v>21704492.34</v>
      </c>
    </row>
    <row r="5" spans="1:3">
      <c r="A5" s="3" t="s">
        <v>2636</v>
      </c>
      <c r="B5">
        <v>49</v>
      </c>
      <c r="C5" s="4">
        <v>11699867.319999995</v>
      </c>
    </row>
    <row r="6" spans="1:3">
      <c r="A6" s="3" t="s">
        <v>2609</v>
      </c>
      <c r="B6">
        <v>46</v>
      </c>
      <c r="C6" s="4">
        <v>9798909.9299999978</v>
      </c>
    </row>
    <row r="7" spans="1:3">
      <c r="A7" s="3" t="s">
        <v>2563</v>
      </c>
      <c r="B7">
        <v>31</v>
      </c>
      <c r="C7" s="4">
        <v>4737513.290000001</v>
      </c>
    </row>
    <row r="8" spans="1:3">
      <c r="A8" s="3" t="s">
        <v>2669</v>
      </c>
      <c r="B8">
        <v>251</v>
      </c>
      <c r="C8" s="4">
        <v>90277667.239999995</v>
      </c>
    </row>
    <row r="9" spans="1:3">
      <c r="A9" s="3" t="s">
        <v>2558</v>
      </c>
      <c r="B9">
        <v>1038</v>
      </c>
      <c r="C9" s="4">
        <v>-684799.42999999993</v>
      </c>
    </row>
    <row r="10" spans="1:3">
      <c r="A10" s="3" t="s">
        <v>2956</v>
      </c>
      <c r="B10">
        <v>1495</v>
      </c>
      <c r="C10" s="4">
        <v>137533650.69000009</v>
      </c>
    </row>
    <row r="14" spans="1:3">
      <c r="A14" t="s">
        <v>2959</v>
      </c>
      <c r="C14" t="s">
        <v>2960</v>
      </c>
    </row>
    <row r="15" spans="1:3">
      <c r="A15" s="4">
        <v>286031274.70999998</v>
      </c>
      <c r="C15" s="4">
        <v>423564925.40000004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E6DC-1D8F-4AAC-9681-B1749B3243C1}">
  <dimension ref="A1:K1496"/>
  <sheetViews>
    <sheetView topLeftCell="B1" workbookViewId="0">
      <selection activeCell="R1482" sqref="R1482"/>
    </sheetView>
  </sheetViews>
  <sheetFormatPr defaultRowHeight="15"/>
  <cols>
    <col min="1" max="1" width="19.5703125" bestFit="1" customWidth="1"/>
    <col min="2" max="2" width="15.85546875" bestFit="1" customWidth="1"/>
    <col min="3" max="3" width="13.7109375" bestFit="1" customWidth="1"/>
    <col min="4" max="4" width="13.85546875" bestFit="1" customWidth="1"/>
    <col min="5" max="5" width="11" bestFit="1" customWidth="1"/>
    <col min="6" max="6" width="17" bestFit="1" customWidth="1"/>
    <col min="7" max="7" width="13.5703125" bestFit="1" customWidth="1"/>
    <col min="8" max="8" width="11.28515625" bestFit="1" customWidth="1"/>
    <col min="9" max="9" width="13.85546875" bestFit="1" customWidth="1"/>
    <col min="10" max="10" width="14.7109375" bestFit="1" customWidth="1"/>
    <col min="11" max="11" width="9.7109375" bestFit="1" customWidth="1"/>
  </cols>
  <sheetData>
    <row r="1" spans="1:11">
      <c r="A1" t="s">
        <v>0</v>
      </c>
      <c r="B1" t="s">
        <v>2</v>
      </c>
      <c r="C1" t="s">
        <v>2547</v>
      </c>
      <c r="D1" t="s">
        <v>2548</v>
      </c>
      <c r="E1" t="s">
        <v>2549</v>
      </c>
      <c r="F1" t="s">
        <v>2550</v>
      </c>
      <c r="G1" t="s">
        <v>2551</v>
      </c>
      <c r="H1" t="s">
        <v>2546</v>
      </c>
      <c r="I1" t="s">
        <v>2552</v>
      </c>
      <c r="J1" t="s">
        <v>2553</v>
      </c>
      <c r="K1" t="s">
        <v>2554</v>
      </c>
    </row>
    <row r="2" spans="1:11">
      <c r="A2" t="s">
        <v>2555</v>
      </c>
      <c r="B2" t="s">
        <v>11</v>
      </c>
      <c r="C2" t="s">
        <v>2556</v>
      </c>
      <c r="D2" s="1">
        <v>46113</v>
      </c>
      <c r="E2" s="1">
        <v>46143</v>
      </c>
      <c r="F2">
        <v>214337.16</v>
      </c>
      <c r="G2" t="s">
        <v>2557</v>
      </c>
      <c r="H2">
        <v>214337.16</v>
      </c>
      <c r="I2">
        <v>0</v>
      </c>
      <c r="J2">
        <v>122</v>
      </c>
      <c r="K2" t="s">
        <v>2558</v>
      </c>
    </row>
    <row r="3" spans="1:11">
      <c r="A3" t="s">
        <v>2555</v>
      </c>
      <c r="B3" t="s">
        <v>8</v>
      </c>
      <c r="C3" t="s">
        <v>2559</v>
      </c>
      <c r="D3" s="1">
        <v>46119</v>
      </c>
      <c r="E3" s="1">
        <v>46134</v>
      </c>
      <c r="F3">
        <v>39629.51</v>
      </c>
      <c r="G3" t="s">
        <v>2560</v>
      </c>
      <c r="H3">
        <v>39629.51</v>
      </c>
      <c r="I3">
        <v>0</v>
      </c>
      <c r="J3">
        <v>131</v>
      </c>
      <c r="K3" t="s">
        <v>2558</v>
      </c>
    </row>
    <row r="4" spans="1:11">
      <c r="A4" t="s">
        <v>2555</v>
      </c>
      <c r="B4" t="s">
        <v>1113</v>
      </c>
      <c r="C4" t="s">
        <v>2561</v>
      </c>
      <c r="D4" s="1">
        <v>46113</v>
      </c>
      <c r="E4" s="1">
        <v>46158</v>
      </c>
      <c r="F4">
        <v>1149650.67</v>
      </c>
      <c r="G4" t="s">
        <v>2562</v>
      </c>
      <c r="H4">
        <v>669319.77</v>
      </c>
      <c r="I4">
        <v>480330.9</v>
      </c>
      <c r="J4">
        <v>107</v>
      </c>
      <c r="K4" t="s">
        <v>2563</v>
      </c>
    </row>
    <row r="5" spans="1:11">
      <c r="A5" t="s">
        <v>2555</v>
      </c>
      <c r="B5" t="s">
        <v>226</v>
      </c>
      <c r="C5" t="s">
        <v>2564</v>
      </c>
      <c r="D5" s="1">
        <v>46113</v>
      </c>
      <c r="E5" s="1">
        <v>46173</v>
      </c>
      <c r="F5">
        <v>1817460.64</v>
      </c>
      <c r="G5" t="s">
        <v>2562</v>
      </c>
      <c r="H5">
        <v>1817460.64</v>
      </c>
      <c r="I5">
        <v>0</v>
      </c>
      <c r="J5">
        <v>92</v>
      </c>
      <c r="K5" t="s">
        <v>2558</v>
      </c>
    </row>
    <row r="6" spans="1:11">
      <c r="A6" t="s">
        <v>2555</v>
      </c>
      <c r="B6" t="s">
        <v>13</v>
      </c>
      <c r="C6" t="s">
        <v>2565</v>
      </c>
      <c r="D6" s="1">
        <v>46114</v>
      </c>
      <c r="E6" s="1">
        <v>46129</v>
      </c>
      <c r="F6">
        <v>42793.120000000003</v>
      </c>
      <c r="G6" t="s">
        <v>2566</v>
      </c>
      <c r="H6">
        <v>42793.120000000003</v>
      </c>
      <c r="I6">
        <v>0</v>
      </c>
      <c r="J6">
        <v>136</v>
      </c>
      <c r="K6" t="s">
        <v>2558</v>
      </c>
    </row>
    <row r="7" spans="1:11">
      <c r="A7" t="s">
        <v>2555</v>
      </c>
      <c r="B7" t="s">
        <v>240</v>
      </c>
      <c r="C7" t="s">
        <v>2567</v>
      </c>
      <c r="D7" s="1">
        <v>46113</v>
      </c>
      <c r="E7" s="1">
        <v>46158</v>
      </c>
      <c r="F7">
        <v>509948.8</v>
      </c>
      <c r="G7" t="s">
        <v>2568</v>
      </c>
      <c r="H7">
        <v>509948.8</v>
      </c>
      <c r="I7">
        <v>0</v>
      </c>
      <c r="J7">
        <v>107</v>
      </c>
      <c r="K7" t="s">
        <v>2558</v>
      </c>
    </row>
    <row r="8" spans="1:11">
      <c r="A8" t="s">
        <v>2555</v>
      </c>
      <c r="B8" t="s">
        <v>15</v>
      </c>
      <c r="C8" t="s">
        <v>2569</v>
      </c>
      <c r="D8" s="1">
        <v>46113</v>
      </c>
      <c r="E8" s="1">
        <v>46128</v>
      </c>
      <c r="F8">
        <v>32196.74</v>
      </c>
      <c r="G8" t="s">
        <v>2557</v>
      </c>
      <c r="H8">
        <v>9224.93</v>
      </c>
      <c r="I8">
        <v>22971.81</v>
      </c>
      <c r="J8">
        <v>137</v>
      </c>
      <c r="K8" t="s">
        <v>2563</v>
      </c>
    </row>
    <row r="9" spans="1:11">
      <c r="A9" t="s">
        <v>2555</v>
      </c>
      <c r="B9" t="s">
        <v>57</v>
      </c>
      <c r="C9" t="s">
        <v>2570</v>
      </c>
      <c r="D9" s="1">
        <v>46113</v>
      </c>
      <c r="E9" s="1">
        <v>46143</v>
      </c>
      <c r="F9">
        <v>665301.81000000006</v>
      </c>
      <c r="G9" t="s">
        <v>2557</v>
      </c>
      <c r="H9">
        <v>665301.81000000006</v>
      </c>
      <c r="I9">
        <v>0</v>
      </c>
      <c r="J9">
        <v>122</v>
      </c>
      <c r="K9" t="s">
        <v>2558</v>
      </c>
    </row>
    <row r="10" spans="1:11">
      <c r="A10" t="s">
        <v>2555</v>
      </c>
      <c r="B10" t="s">
        <v>18</v>
      </c>
      <c r="C10" t="s">
        <v>2571</v>
      </c>
      <c r="D10" s="1">
        <v>46120</v>
      </c>
      <c r="E10" s="1">
        <v>46165</v>
      </c>
      <c r="F10">
        <v>718198.89</v>
      </c>
      <c r="G10" t="s">
        <v>2568</v>
      </c>
      <c r="H10">
        <v>334342.28000000003</v>
      </c>
      <c r="I10">
        <v>383856.61</v>
      </c>
      <c r="J10">
        <v>100</v>
      </c>
      <c r="K10" t="s">
        <v>2563</v>
      </c>
    </row>
    <row r="11" spans="1:11">
      <c r="A11" t="s">
        <v>2555</v>
      </c>
      <c r="B11" t="s">
        <v>337</v>
      </c>
      <c r="C11" t="s">
        <v>2564</v>
      </c>
      <c r="D11" s="1">
        <v>46113</v>
      </c>
      <c r="E11" s="1">
        <v>46173</v>
      </c>
      <c r="F11">
        <v>127338.64</v>
      </c>
      <c r="G11" t="s">
        <v>2562</v>
      </c>
      <c r="H11">
        <v>127338.64</v>
      </c>
      <c r="I11">
        <v>0</v>
      </c>
      <c r="J11">
        <v>92</v>
      </c>
      <c r="K11" t="s">
        <v>2558</v>
      </c>
    </row>
    <row r="12" spans="1:11">
      <c r="A12" t="s">
        <v>2555</v>
      </c>
      <c r="B12" t="s">
        <v>20</v>
      </c>
      <c r="C12" t="s">
        <v>2559</v>
      </c>
      <c r="D12" s="1">
        <v>46116</v>
      </c>
      <c r="E12" s="1">
        <v>46131</v>
      </c>
      <c r="F12">
        <v>51572.18</v>
      </c>
      <c r="G12" t="s">
        <v>2560</v>
      </c>
      <c r="H12">
        <v>51572.18</v>
      </c>
      <c r="I12">
        <v>0</v>
      </c>
      <c r="J12">
        <v>134</v>
      </c>
      <c r="K12" t="s">
        <v>2558</v>
      </c>
    </row>
    <row r="13" spans="1:11">
      <c r="A13" t="s">
        <v>2555</v>
      </c>
      <c r="B13" t="s">
        <v>22</v>
      </c>
      <c r="C13" t="s">
        <v>2572</v>
      </c>
      <c r="D13" s="1">
        <v>46116</v>
      </c>
      <c r="E13" s="1">
        <v>46131</v>
      </c>
      <c r="F13">
        <v>36169.97</v>
      </c>
      <c r="G13" t="s">
        <v>2557</v>
      </c>
      <c r="H13">
        <v>36169.97</v>
      </c>
      <c r="I13">
        <v>0</v>
      </c>
      <c r="J13">
        <v>134</v>
      </c>
      <c r="K13" t="s">
        <v>2558</v>
      </c>
    </row>
    <row r="14" spans="1:11">
      <c r="A14" t="s">
        <v>2555</v>
      </c>
      <c r="B14" t="s">
        <v>147</v>
      </c>
      <c r="C14" t="s">
        <v>2573</v>
      </c>
      <c r="D14" s="1">
        <v>46114</v>
      </c>
      <c r="E14" s="1">
        <v>46144</v>
      </c>
      <c r="F14">
        <v>85509.119999999995</v>
      </c>
      <c r="G14" t="s">
        <v>2574</v>
      </c>
      <c r="H14">
        <v>85509.119999999995</v>
      </c>
      <c r="I14">
        <v>0</v>
      </c>
      <c r="J14">
        <v>121</v>
      </c>
      <c r="K14" t="s">
        <v>2558</v>
      </c>
    </row>
    <row r="15" spans="1:11">
      <c r="A15" t="s">
        <v>2555</v>
      </c>
      <c r="B15" t="s">
        <v>25</v>
      </c>
      <c r="C15" t="s">
        <v>2575</v>
      </c>
      <c r="D15" s="1">
        <v>46116</v>
      </c>
      <c r="E15" s="1">
        <v>46131</v>
      </c>
      <c r="F15">
        <v>27448.39</v>
      </c>
      <c r="G15" t="s">
        <v>2574</v>
      </c>
      <c r="H15">
        <v>27448.39</v>
      </c>
      <c r="I15">
        <v>0</v>
      </c>
      <c r="J15">
        <v>134</v>
      </c>
      <c r="K15" t="s">
        <v>2558</v>
      </c>
    </row>
    <row r="16" spans="1:11">
      <c r="A16" t="s">
        <v>2555</v>
      </c>
      <c r="B16" t="s">
        <v>819</v>
      </c>
      <c r="C16" t="s">
        <v>2573</v>
      </c>
      <c r="D16" s="1">
        <v>46114</v>
      </c>
      <c r="E16" s="1">
        <v>46144</v>
      </c>
      <c r="F16">
        <v>79679.97</v>
      </c>
      <c r="G16" t="s">
        <v>2574</v>
      </c>
      <c r="H16">
        <v>79679.97</v>
      </c>
      <c r="I16">
        <v>0</v>
      </c>
      <c r="J16">
        <v>121</v>
      </c>
      <c r="K16" t="s">
        <v>2558</v>
      </c>
    </row>
    <row r="17" spans="1:11">
      <c r="A17" t="s">
        <v>2555</v>
      </c>
      <c r="B17" t="s">
        <v>28</v>
      </c>
      <c r="C17" t="s">
        <v>2572</v>
      </c>
      <c r="D17" s="1">
        <v>46117</v>
      </c>
      <c r="E17" s="1">
        <v>46132</v>
      </c>
      <c r="F17">
        <v>99962.32</v>
      </c>
      <c r="G17" t="s">
        <v>2557</v>
      </c>
      <c r="H17">
        <v>99962.32</v>
      </c>
      <c r="I17">
        <v>0</v>
      </c>
      <c r="J17">
        <v>133</v>
      </c>
      <c r="K17" t="s">
        <v>2558</v>
      </c>
    </row>
    <row r="18" spans="1:11">
      <c r="A18" t="s">
        <v>2555</v>
      </c>
      <c r="B18" t="s">
        <v>30</v>
      </c>
      <c r="C18" t="s">
        <v>2565</v>
      </c>
      <c r="D18" s="1">
        <v>46121</v>
      </c>
      <c r="E18" s="1">
        <v>46136</v>
      </c>
      <c r="F18">
        <v>7264.56</v>
      </c>
      <c r="G18" t="s">
        <v>2566</v>
      </c>
      <c r="H18">
        <v>7264.56</v>
      </c>
      <c r="I18">
        <v>0</v>
      </c>
      <c r="J18">
        <v>129</v>
      </c>
      <c r="K18" t="s">
        <v>2558</v>
      </c>
    </row>
    <row r="19" spans="1:11">
      <c r="A19" t="s">
        <v>2555</v>
      </c>
      <c r="B19" t="s">
        <v>71</v>
      </c>
      <c r="C19" t="s">
        <v>2561</v>
      </c>
      <c r="D19" s="1">
        <v>46114</v>
      </c>
      <c r="E19" s="1">
        <v>46159</v>
      </c>
      <c r="F19">
        <v>882047.15</v>
      </c>
      <c r="G19" t="s">
        <v>2562</v>
      </c>
      <c r="H19">
        <v>882047.15</v>
      </c>
      <c r="I19">
        <v>0</v>
      </c>
      <c r="J19">
        <v>106</v>
      </c>
      <c r="K19" t="s">
        <v>2558</v>
      </c>
    </row>
    <row r="20" spans="1:11">
      <c r="A20" t="s">
        <v>2555</v>
      </c>
      <c r="B20" t="s">
        <v>32</v>
      </c>
      <c r="C20" t="s">
        <v>2576</v>
      </c>
      <c r="D20" s="1">
        <v>46124</v>
      </c>
      <c r="E20" s="1">
        <v>46169</v>
      </c>
      <c r="F20">
        <v>379497.59</v>
      </c>
      <c r="G20" t="s">
        <v>2566</v>
      </c>
      <c r="H20">
        <v>134037.78999999998</v>
      </c>
      <c r="I20">
        <v>245459.8</v>
      </c>
      <c r="J20">
        <v>96</v>
      </c>
      <c r="K20" t="s">
        <v>2563</v>
      </c>
    </row>
    <row r="21" spans="1:11">
      <c r="A21" t="s">
        <v>2555</v>
      </c>
      <c r="B21" t="s">
        <v>339</v>
      </c>
      <c r="C21" t="s">
        <v>2577</v>
      </c>
      <c r="D21" s="1">
        <v>46114</v>
      </c>
      <c r="E21" s="1">
        <v>46144</v>
      </c>
      <c r="F21">
        <v>55788.98</v>
      </c>
      <c r="G21" t="s">
        <v>2562</v>
      </c>
      <c r="H21">
        <v>55788.98</v>
      </c>
      <c r="I21">
        <v>0</v>
      </c>
      <c r="J21">
        <v>121</v>
      </c>
      <c r="K21" t="s">
        <v>2558</v>
      </c>
    </row>
    <row r="22" spans="1:11">
      <c r="A22" t="s">
        <v>2555</v>
      </c>
      <c r="B22" t="s">
        <v>34</v>
      </c>
      <c r="C22" t="s">
        <v>2578</v>
      </c>
      <c r="D22" s="1">
        <v>46123</v>
      </c>
      <c r="E22" s="1">
        <v>46138</v>
      </c>
      <c r="F22">
        <v>94500.37</v>
      </c>
      <c r="G22" t="s">
        <v>2562</v>
      </c>
      <c r="H22">
        <v>94500.37</v>
      </c>
      <c r="I22">
        <v>0</v>
      </c>
      <c r="J22">
        <v>127</v>
      </c>
      <c r="K22" t="s">
        <v>2558</v>
      </c>
    </row>
    <row r="23" spans="1:11">
      <c r="A23" t="s">
        <v>2555</v>
      </c>
      <c r="B23" t="s">
        <v>161</v>
      </c>
      <c r="C23" t="s">
        <v>2571</v>
      </c>
      <c r="D23" s="1">
        <v>46114</v>
      </c>
      <c r="E23" s="1">
        <v>46159</v>
      </c>
      <c r="F23">
        <v>1188517.72</v>
      </c>
      <c r="G23" t="s">
        <v>2568</v>
      </c>
      <c r="H23">
        <v>541498.90999999992</v>
      </c>
      <c r="I23">
        <v>647018.81000000006</v>
      </c>
      <c r="J23">
        <v>106</v>
      </c>
      <c r="K23" t="s">
        <v>2563</v>
      </c>
    </row>
    <row r="24" spans="1:11">
      <c r="A24" t="s">
        <v>2555</v>
      </c>
      <c r="B24" t="s">
        <v>36</v>
      </c>
      <c r="C24" t="s">
        <v>2579</v>
      </c>
      <c r="D24" s="1">
        <v>46115</v>
      </c>
      <c r="E24" s="1">
        <v>46145</v>
      </c>
      <c r="F24">
        <v>546706.82999999996</v>
      </c>
      <c r="G24" t="s">
        <v>2557</v>
      </c>
      <c r="H24">
        <v>546706.82999999996</v>
      </c>
      <c r="I24">
        <v>0</v>
      </c>
      <c r="J24">
        <v>120</v>
      </c>
      <c r="K24" t="s">
        <v>2558</v>
      </c>
    </row>
    <row r="25" spans="1:11">
      <c r="A25" t="s">
        <v>2555</v>
      </c>
      <c r="B25" t="s">
        <v>1158</v>
      </c>
      <c r="C25" t="s">
        <v>2561</v>
      </c>
      <c r="D25" s="1">
        <v>46114</v>
      </c>
      <c r="E25" s="1">
        <v>46159</v>
      </c>
      <c r="F25">
        <v>500227.23</v>
      </c>
      <c r="G25" t="s">
        <v>2562</v>
      </c>
      <c r="H25">
        <v>500227.23</v>
      </c>
      <c r="I25">
        <v>0</v>
      </c>
      <c r="J25">
        <v>106</v>
      </c>
      <c r="K25" t="s">
        <v>2558</v>
      </c>
    </row>
    <row r="26" spans="1:11">
      <c r="A26" t="s">
        <v>2555</v>
      </c>
      <c r="B26" t="s">
        <v>38</v>
      </c>
      <c r="C26" t="s">
        <v>2580</v>
      </c>
      <c r="D26" s="1">
        <v>46117</v>
      </c>
      <c r="E26" s="1">
        <v>46132</v>
      </c>
      <c r="F26">
        <v>8175.72</v>
      </c>
      <c r="G26" t="s">
        <v>2557</v>
      </c>
      <c r="H26">
        <v>8175.72</v>
      </c>
      <c r="I26">
        <v>0</v>
      </c>
      <c r="J26">
        <v>133</v>
      </c>
      <c r="K26" t="s">
        <v>2558</v>
      </c>
    </row>
    <row r="27" spans="1:11">
      <c r="A27" t="s">
        <v>2555</v>
      </c>
      <c r="B27" t="s">
        <v>113</v>
      </c>
      <c r="C27" t="s">
        <v>2576</v>
      </c>
      <c r="D27" s="1">
        <v>46114</v>
      </c>
      <c r="E27" s="1">
        <v>46159</v>
      </c>
      <c r="F27">
        <v>271037.68</v>
      </c>
      <c r="G27" t="s">
        <v>2566</v>
      </c>
      <c r="H27">
        <v>271037.68</v>
      </c>
      <c r="I27">
        <v>0</v>
      </c>
      <c r="J27">
        <v>106</v>
      </c>
      <c r="K27" t="s">
        <v>2558</v>
      </c>
    </row>
    <row r="28" spans="1:11">
      <c r="A28" t="s">
        <v>2555</v>
      </c>
      <c r="B28" t="s">
        <v>40</v>
      </c>
      <c r="C28" t="s">
        <v>2581</v>
      </c>
      <c r="D28" s="1">
        <v>46118</v>
      </c>
      <c r="E28" s="1">
        <v>46133</v>
      </c>
      <c r="F28">
        <v>22124.76</v>
      </c>
      <c r="G28" t="s">
        <v>2562</v>
      </c>
      <c r="H28">
        <v>22124.76</v>
      </c>
      <c r="I28">
        <v>0</v>
      </c>
      <c r="J28">
        <v>132</v>
      </c>
      <c r="K28" t="s">
        <v>2558</v>
      </c>
    </row>
    <row r="29" spans="1:11">
      <c r="A29" t="s">
        <v>2555</v>
      </c>
      <c r="B29" t="s">
        <v>537</v>
      </c>
      <c r="C29" t="s">
        <v>2579</v>
      </c>
      <c r="D29" s="1">
        <v>46114</v>
      </c>
      <c r="E29" s="1">
        <v>46144</v>
      </c>
      <c r="F29">
        <v>522811.22</v>
      </c>
      <c r="G29" t="s">
        <v>2557</v>
      </c>
      <c r="H29">
        <v>522811.22</v>
      </c>
      <c r="I29">
        <v>0</v>
      </c>
      <c r="J29">
        <v>121</v>
      </c>
      <c r="K29" t="s">
        <v>2558</v>
      </c>
    </row>
    <row r="30" spans="1:11">
      <c r="A30" t="s">
        <v>2555</v>
      </c>
      <c r="B30" t="s">
        <v>43</v>
      </c>
      <c r="C30" t="s">
        <v>2572</v>
      </c>
      <c r="D30" s="1">
        <v>46120</v>
      </c>
      <c r="E30" s="1">
        <v>46135</v>
      </c>
      <c r="F30">
        <v>24514.11</v>
      </c>
      <c r="G30" t="s">
        <v>2557</v>
      </c>
      <c r="H30">
        <v>24514.11</v>
      </c>
      <c r="I30">
        <v>0</v>
      </c>
      <c r="J30">
        <v>130</v>
      </c>
      <c r="K30" t="s">
        <v>2558</v>
      </c>
    </row>
    <row r="31" spans="1:11">
      <c r="A31" t="s">
        <v>2555</v>
      </c>
      <c r="B31" t="s">
        <v>728</v>
      </c>
      <c r="C31" t="s">
        <v>2556</v>
      </c>
      <c r="D31" s="1">
        <v>46115</v>
      </c>
      <c r="E31" s="1">
        <v>46145</v>
      </c>
      <c r="F31">
        <v>8650.16</v>
      </c>
      <c r="G31" t="s">
        <v>2557</v>
      </c>
      <c r="H31">
        <v>8650.16</v>
      </c>
      <c r="I31">
        <v>0</v>
      </c>
      <c r="J31">
        <v>120</v>
      </c>
      <c r="K31" t="s">
        <v>2558</v>
      </c>
    </row>
    <row r="32" spans="1:11">
      <c r="A32" t="s">
        <v>2555</v>
      </c>
      <c r="B32" t="s">
        <v>45</v>
      </c>
      <c r="C32" t="s">
        <v>2582</v>
      </c>
      <c r="D32" s="1">
        <v>46115</v>
      </c>
      <c r="E32" s="1">
        <v>46145</v>
      </c>
      <c r="F32">
        <v>27230.9</v>
      </c>
      <c r="G32" t="s">
        <v>2557</v>
      </c>
      <c r="H32">
        <v>27230.9</v>
      </c>
      <c r="I32">
        <v>0</v>
      </c>
      <c r="J32">
        <v>120</v>
      </c>
      <c r="K32" t="s">
        <v>2558</v>
      </c>
    </row>
    <row r="33" spans="1:11">
      <c r="A33" t="s">
        <v>2555</v>
      </c>
      <c r="B33" t="s">
        <v>47</v>
      </c>
      <c r="C33" t="s">
        <v>2579</v>
      </c>
      <c r="D33" s="1">
        <v>46116</v>
      </c>
      <c r="E33" s="1">
        <v>46146</v>
      </c>
      <c r="F33">
        <v>1765522.45</v>
      </c>
      <c r="G33" t="s">
        <v>2557</v>
      </c>
      <c r="H33">
        <v>1765522.45</v>
      </c>
      <c r="I33">
        <v>0</v>
      </c>
      <c r="J33">
        <v>119</v>
      </c>
      <c r="K33" t="s">
        <v>2558</v>
      </c>
    </row>
    <row r="34" spans="1:11">
      <c r="A34" t="s">
        <v>2555</v>
      </c>
      <c r="B34" t="s">
        <v>1151</v>
      </c>
      <c r="C34" t="s">
        <v>2583</v>
      </c>
      <c r="D34" s="1">
        <v>46115</v>
      </c>
      <c r="E34" s="1">
        <v>46175</v>
      </c>
      <c r="F34">
        <v>5000</v>
      </c>
      <c r="G34" t="s">
        <v>2562</v>
      </c>
      <c r="H34">
        <v>5000</v>
      </c>
      <c r="I34">
        <v>0</v>
      </c>
      <c r="J34">
        <v>90</v>
      </c>
      <c r="K34" t="s">
        <v>2558</v>
      </c>
    </row>
    <row r="35" spans="1:11">
      <c r="A35" t="s">
        <v>2555</v>
      </c>
      <c r="B35" t="s">
        <v>49</v>
      </c>
      <c r="C35" t="s">
        <v>2572</v>
      </c>
      <c r="D35" s="1">
        <v>46118</v>
      </c>
      <c r="E35" s="1">
        <v>46133</v>
      </c>
      <c r="F35">
        <v>9219.24</v>
      </c>
      <c r="G35" t="s">
        <v>2557</v>
      </c>
      <c r="H35">
        <v>9219.24</v>
      </c>
      <c r="I35">
        <v>0</v>
      </c>
      <c r="J35">
        <v>132</v>
      </c>
      <c r="K35" t="s">
        <v>2558</v>
      </c>
    </row>
    <row r="36" spans="1:11">
      <c r="A36" t="s">
        <v>2555</v>
      </c>
      <c r="B36" t="s">
        <v>51</v>
      </c>
      <c r="C36" t="s">
        <v>2572</v>
      </c>
      <c r="D36" s="1">
        <v>46122</v>
      </c>
      <c r="E36" s="1">
        <v>46137</v>
      </c>
      <c r="F36">
        <v>48338.559999999998</v>
      </c>
      <c r="G36" t="s">
        <v>2557</v>
      </c>
      <c r="H36">
        <v>48338.559999999998</v>
      </c>
      <c r="I36">
        <v>0</v>
      </c>
      <c r="J36">
        <v>128</v>
      </c>
      <c r="K36" t="s">
        <v>2558</v>
      </c>
    </row>
    <row r="37" spans="1:11">
      <c r="A37" t="s">
        <v>2555</v>
      </c>
      <c r="B37" t="s">
        <v>1085</v>
      </c>
      <c r="C37" t="s">
        <v>2579</v>
      </c>
      <c r="D37" s="1">
        <v>46115</v>
      </c>
      <c r="E37" s="1">
        <v>46145</v>
      </c>
      <c r="F37">
        <v>583679.15</v>
      </c>
      <c r="G37" t="s">
        <v>2557</v>
      </c>
      <c r="H37">
        <v>583679.15</v>
      </c>
      <c r="I37">
        <v>0</v>
      </c>
      <c r="J37">
        <v>120</v>
      </c>
      <c r="K37" t="s">
        <v>2558</v>
      </c>
    </row>
    <row r="38" spans="1:11">
      <c r="A38" t="s">
        <v>2555</v>
      </c>
      <c r="B38" t="s">
        <v>53</v>
      </c>
      <c r="C38" t="s">
        <v>2565</v>
      </c>
      <c r="D38" s="1">
        <v>46123</v>
      </c>
      <c r="E38" s="1">
        <v>46138</v>
      </c>
      <c r="F38">
        <v>108158.82</v>
      </c>
      <c r="G38" t="s">
        <v>2566</v>
      </c>
      <c r="H38">
        <v>108158.82</v>
      </c>
      <c r="I38">
        <v>0</v>
      </c>
      <c r="J38">
        <v>127</v>
      </c>
      <c r="K38" t="s">
        <v>2558</v>
      </c>
    </row>
    <row r="39" spans="1:11">
      <c r="A39" t="s">
        <v>2555</v>
      </c>
      <c r="B39" t="s">
        <v>2584</v>
      </c>
      <c r="C39" t="s">
        <v>2573</v>
      </c>
      <c r="D39" s="1">
        <v>46115</v>
      </c>
      <c r="E39" s="1">
        <v>46145</v>
      </c>
      <c r="F39">
        <v>55091.8</v>
      </c>
      <c r="G39" t="s">
        <v>2574</v>
      </c>
      <c r="I39">
        <v>55091.8</v>
      </c>
      <c r="J39">
        <v>120</v>
      </c>
      <c r="K39" t="s">
        <v>2563</v>
      </c>
    </row>
    <row r="40" spans="1:11">
      <c r="A40" t="s">
        <v>2555</v>
      </c>
      <c r="B40" t="s">
        <v>55</v>
      </c>
      <c r="C40" t="s">
        <v>2585</v>
      </c>
      <c r="D40" s="1">
        <v>46124</v>
      </c>
      <c r="E40" s="1">
        <v>46154</v>
      </c>
      <c r="F40">
        <v>230131.18</v>
      </c>
      <c r="G40" t="s">
        <v>2562</v>
      </c>
      <c r="H40">
        <v>230131.18</v>
      </c>
      <c r="I40">
        <v>0</v>
      </c>
      <c r="J40">
        <v>111</v>
      </c>
      <c r="K40" t="s">
        <v>2558</v>
      </c>
    </row>
    <row r="41" spans="1:11">
      <c r="A41" t="s">
        <v>2555</v>
      </c>
      <c r="B41" t="s">
        <v>2586</v>
      </c>
      <c r="C41" t="s">
        <v>2578</v>
      </c>
      <c r="D41" s="1">
        <v>46115</v>
      </c>
      <c r="E41" s="1">
        <v>46130</v>
      </c>
      <c r="F41">
        <v>11600.41</v>
      </c>
      <c r="G41" t="s">
        <v>2562</v>
      </c>
      <c r="I41">
        <v>11600.41</v>
      </c>
      <c r="J41">
        <v>135</v>
      </c>
      <c r="K41" t="s">
        <v>2563</v>
      </c>
    </row>
    <row r="42" spans="1:11">
      <c r="A42" t="s">
        <v>2555</v>
      </c>
      <c r="B42" t="s">
        <v>539</v>
      </c>
      <c r="C42" t="s">
        <v>2572</v>
      </c>
      <c r="D42" s="1">
        <v>46115</v>
      </c>
      <c r="E42" s="1">
        <v>46130</v>
      </c>
      <c r="F42">
        <v>17793.82</v>
      </c>
      <c r="G42" t="s">
        <v>2557</v>
      </c>
      <c r="H42">
        <v>17793.82</v>
      </c>
      <c r="I42">
        <v>0</v>
      </c>
      <c r="J42">
        <v>135</v>
      </c>
      <c r="K42" t="s">
        <v>2558</v>
      </c>
    </row>
    <row r="43" spans="1:11">
      <c r="A43" t="s">
        <v>2555</v>
      </c>
      <c r="B43" t="s">
        <v>59</v>
      </c>
      <c r="C43" t="s">
        <v>2565</v>
      </c>
      <c r="D43" s="1">
        <v>46115</v>
      </c>
      <c r="E43" s="1">
        <v>46130</v>
      </c>
      <c r="F43">
        <v>22098.71</v>
      </c>
      <c r="G43" t="s">
        <v>2566</v>
      </c>
      <c r="H43">
        <v>22098.71</v>
      </c>
      <c r="I43">
        <v>0</v>
      </c>
      <c r="J43">
        <v>135</v>
      </c>
      <c r="K43" t="s">
        <v>2558</v>
      </c>
    </row>
    <row r="44" spans="1:11">
      <c r="A44" t="s">
        <v>2555</v>
      </c>
      <c r="B44" t="s">
        <v>2142</v>
      </c>
      <c r="C44" t="s">
        <v>2564</v>
      </c>
      <c r="D44" s="1">
        <v>46115</v>
      </c>
      <c r="E44" s="1">
        <v>46175</v>
      </c>
      <c r="F44">
        <v>1397143.66</v>
      </c>
      <c r="G44" t="s">
        <v>2562</v>
      </c>
      <c r="H44">
        <v>1397143.66</v>
      </c>
      <c r="I44">
        <v>0</v>
      </c>
      <c r="J44">
        <v>90</v>
      </c>
      <c r="K44" t="s">
        <v>2558</v>
      </c>
    </row>
    <row r="45" spans="1:11">
      <c r="A45" t="s">
        <v>2555</v>
      </c>
      <c r="B45" t="s">
        <v>61</v>
      </c>
      <c r="C45" t="s">
        <v>2559</v>
      </c>
      <c r="D45" s="1">
        <v>46117</v>
      </c>
      <c r="E45" s="1">
        <v>46132</v>
      </c>
      <c r="F45">
        <v>53355.13</v>
      </c>
      <c r="G45" t="s">
        <v>2560</v>
      </c>
      <c r="H45">
        <v>53355.13</v>
      </c>
      <c r="I45">
        <v>0</v>
      </c>
      <c r="J45">
        <v>133</v>
      </c>
      <c r="K45" t="s">
        <v>2558</v>
      </c>
    </row>
    <row r="46" spans="1:11">
      <c r="A46" t="s">
        <v>2555</v>
      </c>
      <c r="B46" t="s">
        <v>63</v>
      </c>
      <c r="C46" t="s">
        <v>2587</v>
      </c>
      <c r="D46" s="1">
        <v>46122</v>
      </c>
      <c r="E46" s="1">
        <v>46182</v>
      </c>
      <c r="F46">
        <v>393243.17</v>
      </c>
      <c r="G46" t="s">
        <v>2568</v>
      </c>
      <c r="H46">
        <v>393243.17000000004</v>
      </c>
      <c r="I46">
        <v>0</v>
      </c>
      <c r="J46">
        <v>83</v>
      </c>
      <c r="K46" t="s">
        <v>2558</v>
      </c>
    </row>
    <row r="47" spans="1:11">
      <c r="A47" t="s">
        <v>2555</v>
      </c>
      <c r="B47" t="s">
        <v>171</v>
      </c>
      <c r="C47" t="s">
        <v>2588</v>
      </c>
      <c r="D47" s="1">
        <v>46116</v>
      </c>
      <c r="E47" s="1">
        <v>46146</v>
      </c>
      <c r="F47">
        <v>1178993.8899999999</v>
      </c>
      <c r="G47" t="s">
        <v>2562</v>
      </c>
      <c r="H47">
        <v>1178993.8899999999</v>
      </c>
      <c r="I47">
        <v>0</v>
      </c>
      <c r="J47">
        <v>119</v>
      </c>
      <c r="K47" t="s">
        <v>2558</v>
      </c>
    </row>
    <row r="48" spans="1:11">
      <c r="A48" t="s">
        <v>2555</v>
      </c>
      <c r="B48" t="s">
        <v>65</v>
      </c>
      <c r="C48" t="s">
        <v>2572</v>
      </c>
      <c r="D48" s="1">
        <v>46125</v>
      </c>
      <c r="E48" s="1">
        <v>46140</v>
      </c>
      <c r="F48">
        <v>88282.99</v>
      </c>
      <c r="G48" t="s">
        <v>2557</v>
      </c>
      <c r="H48">
        <v>88282.99</v>
      </c>
      <c r="I48">
        <v>0</v>
      </c>
      <c r="J48">
        <v>125</v>
      </c>
      <c r="K48" t="s">
        <v>2558</v>
      </c>
    </row>
    <row r="49" spans="1:11">
      <c r="A49" t="s">
        <v>2555</v>
      </c>
      <c r="B49" t="s">
        <v>1004</v>
      </c>
      <c r="C49" t="s">
        <v>2589</v>
      </c>
      <c r="D49" s="1">
        <v>46116</v>
      </c>
      <c r="E49" s="1">
        <v>46146</v>
      </c>
      <c r="F49">
        <v>34936.22</v>
      </c>
      <c r="G49" t="s">
        <v>2568</v>
      </c>
      <c r="H49">
        <v>34936.22</v>
      </c>
      <c r="I49">
        <v>0</v>
      </c>
      <c r="J49">
        <v>119</v>
      </c>
      <c r="K49" t="s">
        <v>2558</v>
      </c>
    </row>
    <row r="50" spans="1:11">
      <c r="A50" t="s">
        <v>2555</v>
      </c>
      <c r="B50" t="s">
        <v>67</v>
      </c>
      <c r="C50" t="s">
        <v>2590</v>
      </c>
      <c r="D50" s="1">
        <v>46126</v>
      </c>
      <c r="E50" s="1">
        <v>46156</v>
      </c>
      <c r="F50">
        <v>53036.73</v>
      </c>
      <c r="G50" t="s">
        <v>2562</v>
      </c>
      <c r="H50">
        <v>53036.73</v>
      </c>
      <c r="I50">
        <v>0</v>
      </c>
      <c r="J50">
        <v>109</v>
      </c>
      <c r="K50" t="s">
        <v>2558</v>
      </c>
    </row>
    <row r="51" spans="1:11">
      <c r="A51" t="s">
        <v>2555</v>
      </c>
      <c r="B51" t="s">
        <v>69</v>
      </c>
      <c r="C51" t="s">
        <v>2588</v>
      </c>
      <c r="D51" s="1">
        <v>46132</v>
      </c>
      <c r="E51" s="1">
        <v>46162</v>
      </c>
      <c r="F51">
        <v>140414.04999999999</v>
      </c>
      <c r="G51" t="s">
        <v>2562</v>
      </c>
      <c r="H51">
        <v>140414.04999999999</v>
      </c>
      <c r="I51">
        <v>0</v>
      </c>
      <c r="J51">
        <v>103</v>
      </c>
      <c r="K51" t="s">
        <v>2558</v>
      </c>
    </row>
    <row r="52" spans="1:11">
      <c r="A52" t="s">
        <v>2555</v>
      </c>
      <c r="B52" t="s">
        <v>2591</v>
      </c>
      <c r="C52" t="s">
        <v>2592</v>
      </c>
      <c r="D52" s="1">
        <v>46116</v>
      </c>
      <c r="E52" s="1">
        <v>46146</v>
      </c>
      <c r="F52">
        <v>39639.410000000003</v>
      </c>
      <c r="G52" t="s">
        <v>2562</v>
      </c>
      <c r="I52">
        <v>39639.410000000003</v>
      </c>
      <c r="J52">
        <v>119</v>
      </c>
      <c r="K52" t="s">
        <v>2563</v>
      </c>
    </row>
    <row r="53" spans="1:11">
      <c r="A53" t="s">
        <v>2555</v>
      </c>
      <c r="B53" t="s">
        <v>73</v>
      </c>
      <c r="C53" t="s">
        <v>2580</v>
      </c>
      <c r="D53" s="1">
        <v>46130</v>
      </c>
      <c r="E53" s="1">
        <v>46145</v>
      </c>
      <c r="F53">
        <v>88263.65</v>
      </c>
      <c r="G53" t="s">
        <v>2557</v>
      </c>
      <c r="H53">
        <v>88263.65</v>
      </c>
      <c r="I53">
        <v>0</v>
      </c>
      <c r="J53">
        <v>120</v>
      </c>
      <c r="K53" t="s">
        <v>2558</v>
      </c>
    </row>
    <row r="54" spans="1:11">
      <c r="A54" t="s">
        <v>2555</v>
      </c>
      <c r="B54" t="s">
        <v>319</v>
      </c>
      <c r="C54" t="s">
        <v>2569</v>
      </c>
      <c r="D54" s="1">
        <v>46116</v>
      </c>
      <c r="E54" s="1">
        <v>46131</v>
      </c>
      <c r="F54">
        <v>13505.83</v>
      </c>
      <c r="G54" t="s">
        <v>2557</v>
      </c>
      <c r="H54">
        <v>3425.83</v>
      </c>
      <c r="I54">
        <v>10080</v>
      </c>
      <c r="J54">
        <v>134</v>
      </c>
      <c r="K54" t="s">
        <v>2563</v>
      </c>
    </row>
    <row r="55" spans="1:11">
      <c r="A55" t="s">
        <v>2555</v>
      </c>
      <c r="B55" t="s">
        <v>75</v>
      </c>
      <c r="C55" t="s">
        <v>2593</v>
      </c>
      <c r="D55" s="1">
        <v>46131</v>
      </c>
      <c r="E55" s="1">
        <v>46161</v>
      </c>
      <c r="F55">
        <v>9653.5400000000009</v>
      </c>
      <c r="G55" t="s">
        <v>2574</v>
      </c>
      <c r="H55">
        <v>6496.39</v>
      </c>
      <c r="I55">
        <v>3157.15</v>
      </c>
      <c r="J55">
        <v>104</v>
      </c>
      <c r="K55" t="s">
        <v>2563</v>
      </c>
    </row>
    <row r="56" spans="1:11">
      <c r="A56" t="s">
        <v>2555</v>
      </c>
      <c r="B56" t="s">
        <v>382</v>
      </c>
      <c r="C56" t="s">
        <v>2569</v>
      </c>
      <c r="D56" s="1">
        <v>46116</v>
      </c>
      <c r="E56" s="1">
        <v>46131</v>
      </c>
      <c r="F56">
        <v>31535.279999999999</v>
      </c>
      <c r="G56" t="s">
        <v>2557</v>
      </c>
      <c r="H56">
        <v>31535.279999999999</v>
      </c>
      <c r="I56">
        <v>0</v>
      </c>
      <c r="J56">
        <v>134</v>
      </c>
      <c r="K56" t="s">
        <v>2558</v>
      </c>
    </row>
    <row r="57" spans="1:11">
      <c r="A57" t="s">
        <v>2555</v>
      </c>
      <c r="B57" t="s">
        <v>77</v>
      </c>
      <c r="C57" t="s">
        <v>2578</v>
      </c>
      <c r="D57" s="1">
        <v>46133</v>
      </c>
      <c r="E57" s="1">
        <v>46148</v>
      </c>
      <c r="F57">
        <v>27260.21</v>
      </c>
      <c r="G57" t="s">
        <v>2562</v>
      </c>
      <c r="H57">
        <v>21317.739999999998</v>
      </c>
      <c r="I57">
        <v>5942.47</v>
      </c>
      <c r="J57">
        <v>117</v>
      </c>
      <c r="K57" t="s">
        <v>2563</v>
      </c>
    </row>
    <row r="58" spans="1:11">
      <c r="A58" t="s">
        <v>2555</v>
      </c>
      <c r="B58" t="s">
        <v>628</v>
      </c>
      <c r="C58" t="s">
        <v>2569</v>
      </c>
      <c r="D58" s="1">
        <v>46116</v>
      </c>
      <c r="E58" s="1">
        <v>46131</v>
      </c>
      <c r="F58">
        <v>33835.75</v>
      </c>
      <c r="G58" t="s">
        <v>2557</v>
      </c>
      <c r="H58">
        <v>33835.75</v>
      </c>
      <c r="I58">
        <v>0</v>
      </c>
      <c r="J58">
        <v>134</v>
      </c>
      <c r="K58" t="s">
        <v>2558</v>
      </c>
    </row>
    <row r="59" spans="1:11">
      <c r="A59" t="s">
        <v>2555</v>
      </c>
      <c r="B59" t="s">
        <v>79</v>
      </c>
      <c r="C59" t="s">
        <v>2565</v>
      </c>
      <c r="D59" s="1">
        <v>46126</v>
      </c>
      <c r="E59" s="1">
        <v>46141</v>
      </c>
      <c r="F59">
        <v>38842.44</v>
      </c>
      <c r="G59" t="s">
        <v>2566</v>
      </c>
      <c r="H59">
        <v>38842.44</v>
      </c>
      <c r="I59">
        <v>0</v>
      </c>
      <c r="J59">
        <v>124</v>
      </c>
      <c r="K59" t="s">
        <v>2558</v>
      </c>
    </row>
    <row r="60" spans="1:11">
      <c r="A60" t="s">
        <v>2555</v>
      </c>
      <c r="B60" t="s">
        <v>384</v>
      </c>
      <c r="C60" t="s">
        <v>2594</v>
      </c>
      <c r="D60" s="1">
        <v>46116</v>
      </c>
      <c r="E60" s="1">
        <v>46146</v>
      </c>
      <c r="F60">
        <v>38288.050000000003</v>
      </c>
      <c r="G60" t="s">
        <v>2557</v>
      </c>
      <c r="H60">
        <v>38288.050000000003</v>
      </c>
      <c r="I60">
        <v>0</v>
      </c>
      <c r="J60">
        <v>119</v>
      </c>
      <c r="K60" t="s">
        <v>2558</v>
      </c>
    </row>
    <row r="61" spans="1:11">
      <c r="A61" t="s">
        <v>2555</v>
      </c>
      <c r="B61" t="s">
        <v>81</v>
      </c>
      <c r="C61" t="s">
        <v>2565</v>
      </c>
      <c r="D61" s="1">
        <v>46128</v>
      </c>
      <c r="E61" s="1">
        <v>46143</v>
      </c>
      <c r="F61">
        <v>7707.5</v>
      </c>
      <c r="G61" t="s">
        <v>2566</v>
      </c>
      <c r="H61">
        <v>7707.5</v>
      </c>
      <c r="I61">
        <v>0</v>
      </c>
      <c r="J61">
        <v>122</v>
      </c>
      <c r="K61" t="s">
        <v>2558</v>
      </c>
    </row>
    <row r="62" spans="1:11">
      <c r="A62" t="s">
        <v>2555</v>
      </c>
      <c r="B62" t="s">
        <v>83</v>
      </c>
      <c r="C62" t="s">
        <v>2585</v>
      </c>
      <c r="D62" s="1">
        <v>46132</v>
      </c>
      <c r="E62" s="1">
        <v>46162</v>
      </c>
      <c r="F62">
        <v>409612.07</v>
      </c>
      <c r="G62" t="s">
        <v>2562</v>
      </c>
      <c r="H62">
        <v>409612.07</v>
      </c>
      <c r="I62">
        <v>0</v>
      </c>
      <c r="J62">
        <v>103</v>
      </c>
      <c r="K62" t="s">
        <v>2558</v>
      </c>
    </row>
    <row r="63" spans="1:11">
      <c r="A63" t="s">
        <v>2555</v>
      </c>
      <c r="B63" t="s">
        <v>450</v>
      </c>
      <c r="C63" t="s">
        <v>2595</v>
      </c>
      <c r="D63" s="1">
        <v>46116</v>
      </c>
      <c r="E63" s="1">
        <v>46146</v>
      </c>
      <c r="F63">
        <v>69169.490000000005</v>
      </c>
      <c r="G63" t="s">
        <v>2568</v>
      </c>
      <c r="H63">
        <v>69169.490000000005</v>
      </c>
      <c r="I63">
        <v>0</v>
      </c>
      <c r="J63">
        <v>119</v>
      </c>
      <c r="K63" t="s">
        <v>2558</v>
      </c>
    </row>
    <row r="64" spans="1:11">
      <c r="A64" t="s">
        <v>2555</v>
      </c>
      <c r="B64" t="s">
        <v>85</v>
      </c>
      <c r="C64" t="s">
        <v>2579</v>
      </c>
      <c r="D64" s="1">
        <v>46117</v>
      </c>
      <c r="E64" s="1">
        <v>46147</v>
      </c>
      <c r="F64">
        <v>682760.91</v>
      </c>
      <c r="G64" t="s">
        <v>2557</v>
      </c>
      <c r="H64">
        <v>682760.91</v>
      </c>
      <c r="I64">
        <v>0</v>
      </c>
      <c r="J64">
        <v>118</v>
      </c>
      <c r="K64" t="s">
        <v>2558</v>
      </c>
    </row>
    <row r="65" spans="1:11">
      <c r="A65" t="s">
        <v>2555</v>
      </c>
      <c r="B65" t="s">
        <v>2596</v>
      </c>
      <c r="C65" t="s">
        <v>2597</v>
      </c>
      <c r="D65" s="1">
        <v>46116</v>
      </c>
      <c r="E65" s="1">
        <v>46161</v>
      </c>
      <c r="F65">
        <v>336898.7</v>
      </c>
      <c r="G65" t="s">
        <v>2574</v>
      </c>
      <c r="I65">
        <v>336898.7</v>
      </c>
      <c r="J65">
        <v>104</v>
      </c>
      <c r="K65" t="s">
        <v>2563</v>
      </c>
    </row>
    <row r="66" spans="1:11">
      <c r="A66" t="s">
        <v>2555</v>
      </c>
      <c r="B66" t="s">
        <v>87</v>
      </c>
      <c r="C66" t="s">
        <v>2595</v>
      </c>
      <c r="D66" s="1">
        <v>46121</v>
      </c>
      <c r="E66" s="1">
        <v>46151</v>
      </c>
      <c r="F66">
        <v>147113.89000000001</v>
      </c>
      <c r="G66" t="s">
        <v>2568</v>
      </c>
      <c r="H66">
        <v>147113.89000000001</v>
      </c>
      <c r="I66">
        <v>0</v>
      </c>
      <c r="J66">
        <v>114</v>
      </c>
      <c r="K66" t="s">
        <v>2558</v>
      </c>
    </row>
    <row r="67" spans="1:11">
      <c r="A67" t="s">
        <v>2555</v>
      </c>
      <c r="B67" t="s">
        <v>89</v>
      </c>
      <c r="C67" t="s">
        <v>2579</v>
      </c>
      <c r="D67" s="1">
        <v>46122</v>
      </c>
      <c r="E67" s="1">
        <v>46152</v>
      </c>
      <c r="F67">
        <v>513072.28</v>
      </c>
      <c r="G67" t="s">
        <v>2557</v>
      </c>
      <c r="H67">
        <v>513072.28</v>
      </c>
      <c r="I67">
        <v>0</v>
      </c>
      <c r="J67">
        <v>113</v>
      </c>
      <c r="K67" t="s">
        <v>2558</v>
      </c>
    </row>
    <row r="68" spans="1:11">
      <c r="A68" t="s">
        <v>2555</v>
      </c>
      <c r="B68" t="s">
        <v>133</v>
      </c>
      <c r="C68" t="s">
        <v>2579</v>
      </c>
      <c r="D68" s="1">
        <v>46116</v>
      </c>
      <c r="E68" s="1">
        <v>46146</v>
      </c>
      <c r="F68">
        <v>290474.34999999998</v>
      </c>
      <c r="G68" t="s">
        <v>2557</v>
      </c>
      <c r="H68">
        <v>290474.34999999998</v>
      </c>
      <c r="I68">
        <v>0</v>
      </c>
      <c r="J68">
        <v>119</v>
      </c>
      <c r="K68" t="s">
        <v>2558</v>
      </c>
    </row>
    <row r="69" spans="1:11">
      <c r="A69" t="s">
        <v>2555</v>
      </c>
      <c r="B69" t="s">
        <v>92</v>
      </c>
      <c r="C69" t="s">
        <v>2598</v>
      </c>
      <c r="D69" s="1">
        <v>46117</v>
      </c>
      <c r="E69" s="1">
        <v>46147</v>
      </c>
      <c r="F69">
        <v>94625.06</v>
      </c>
      <c r="G69" t="s">
        <v>2566</v>
      </c>
      <c r="H69">
        <v>94625.06</v>
      </c>
      <c r="I69">
        <v>0</v>
      </c>
      <c r="J69">
        <v>118</v>
      </c>
      <c r="K69" t="s">
        <v>2558</v>
      </c>
    </row>
    <row r="70" spans="1:11">
      <c r="A70" t="s">
        <v>2555</v>
      </c>
      <c r="B70" t="s">
        <v>173</v>
      </c>
      <c r="C70" t="s">
        <v>2571</v>
      </c>
      <c r="D70" s="1">
        <v>46116</v>
      </c>
      <c r="E70" s="1">
        <v>46161</v>
      </c>
      <c r="F70">
        <v>343538.24</v>
      </c>
      <c r="G70" t="s">
        <v>2568</v>
      </c>
      <c r="H70">
        <v>343538.24</v>
      </c>
      <c r="I70">
        <v>0</v>
      </c>
      <c r="J70">
        <v>104</v>
      </c>
      <c r="K70" t="s">
        <v>2558</v>
      </c>
    </row>
    <row r="71" spans="1:11">
      <c r="A71" t="s">
        <v>2555</v>
      </c>
      <c r="B71" t="s">
        <v>94</v>
      </c>
      <c r="C71" t="s">
        <v>2565</v>
      </c>
      <c r="D71" s="1">
        <v>46125</v>
      </c>
      <c r="E71" s="1">
        <v>46140</v>
      </c>
      <c r="F71">
        <v>58604.58</v>
      </c>
      <c r="G71" t="s">
        <v>2566</v>
      </c>
      <c r="H71">
        <v>58604.58</v>
      </c>
      <c r="I71">
        <v>0</v>
      </c>
      <c r="J71">
        <v>125</v>
      </c>
      <c r="K71" t="s">
        <v>2558</v>
      </c>
    </row>
    <row r="72" spans="1:11">
      <c r="A72" t="s">
        <v>2555</v>
      </c>
      <c r="B72" t="s">
        <v>175</v>
      </c>
      <c r="C72" t="s">
        <v>2582</v>
      </c>
      <c r="D72" s="1">
        <v>46117</v>
      </c>
      <c r="E72" s="1">
        <v>46147</v>
      </c>
      <c r="F72">
        <v>173054.81</v>
      </c>
      <c r="G72" t="s">
        <v>2557</v>
      </c>
      <c r="H72">
        <v>173054.81</v>
      </c>
      <c r="I72">
        <v>0</v>
      </c>
      <c r="J72">
        <v>118</v>
      </c>
      <c r="K72" t="s">
        <v>2558</v>
      </c>
    </row>
    <row r="73" spans="1:11">
      <c r="A73" t="s">
        <v>2555</v>
      </c>
      <c r="B73" t="s">
        <v>96</v>
      </c>
      <c r="C73" t="s">
        <v>2559</v>
      </c>
      <c r="D73" s="1">
        <v>46127</v>
      </c>
      <c r="E73" s="1">
        <v>46142</v>
      </c>
      <c r="F73">
        <v>53401.48</v>
      </c>
      <c r="G73" t="s">
        <v>2560</v>
      </c>
      <c r="H73">
        <v>53401.48</v>
      </c>
      <c r="I73">
        <v>0</v>
      </c>
      <c r="J73">
        <v>123</v>
      </c>
      <c r="K73" t="s">
        <v>2558</v>
      </c>
    </row>
    <row r="74" spans="1:11">
      <c r="A74" t="s">
        <v>2555</v>
      </c>
      <c r="B74" t="s">
        <v>98</v>
      </c>
      <c r="C74" t="s">
        <v>2595</v>
      </c>
      <c r="D74" s="1">
        <v>46129</v>
      </c>
      <c r="E74" s="1">
        <v>46159</v>
      </c>
      <c r="F74">
        <v>155480.20000000001</v>
      </c>
      <c r="G74" t="s">
        <v>2568</v>
      </c>
      <c r="H74">
        <v>155480.20000000001</v>
      </c>
      <c r="I74">
        <v>0</v>
      </c>
      <c r="J74">
        <v>106</v>
      </c>
      <c r="K74" t="s">
        <v>2558</v>
      </c>
    </row>
    <row r="75" spans="1:11">
      <c r="A75" t="s">
        <v>2555</v>
      </c>
      <c r="B75" t="s">
        <v>512</v>
      </c>
      <c r="C75" t="s">
        <v>2599</v>
      </c>
      <c r="D75" s="1">
        <v>46117</v>
      </c>
      <c r="E75" s="1">
        <v>46177</v>
      </c>
      <c r="F75">
        <v>54158.55</v>
      </c>
      <c r="G75" t="s">
        <v>2562</v>
      </c>
      <c r="H75">
        <v>54158.55</v>
      </c>
      <c r="I75">
        <v>0</v>
      </c>
      <c r="J75">
        <v>88</v>
      </c>
      <c r="K75" t="s">
        <v>2558</v>
      </c>
    </row>
    <row r="76" spans="1:11">
      <c r="A76" t="s">
        <v>2555</v>
      </c>
      <c r="B76" t="s">
        <v>100</v>
      </c>
      <c r="C76" t="s">
        <v>2570</v>
      </c>
      <c r="D76" s="1">
        <v>46117</v>
      </c>
      <c r="E76" s="1">
        <v>46147</v>
      </c>
      <c r="F76">
        <v>764311.32</v>
      </c>
      <c r="G76" t="s">
        <v>2557</v>
      </c>
      <c r="H76">
        <v>764311.32</v>
      </c>
      <c r="I76">
        <v>0</v>
      </c>
      <c r="J76">
        <v>118</v>
      </c>
      <c r="K76" t="s">
        <v>2558</v>
      </c>
    </row>
    <row r="77" spans="1:11">
      <c r="A77" t="s">
        <v>2555</v>
      </c>
      <c r="B77" t="s">
        <v>467</v>
      </c>
      <c r="C77" t="s">
        <v>2564</v>
      </c>
      <c r="D77" s="1">
        <v>46117</v>
      </c>
      <c r="E77" s="1">
        <v>46177</v>
      </c>
      <c r="F77">
        <v>141268.59</v>
      </c>
      <c r="G77" t="s">
        <v>2562</v>
      </c>
      <c r="H77">
        <v>141268.59</v>
      </c>
      <c r="I77">
        <v>0</v>
      </c>
      <c r="J77">
        <v>88</v>
      </c>
      <c r="K77" t="s">
        <v>2558</v>
      </c>
    </row>
    <row r="78" spans="1:11">
      <c r="A78" t="s">
        <v>2555</v>
      </c>
      <c r="B78" t="s">
        <v>102</v>
      </c>
      <c r="C78" t="s">
        <v>2595</v>
      </c>
      <c r="D78" s="1">
        <v>46121</v>
      </c>
      <c r="E78" s="1">
        <v>46151</v>
      </c>
      <c r="F78">
        <v>252234.52</v>
      </c>
      <c r="G78" t="s">
        <v>2568</v>
      </c>
      <c r="H78">
        <v>252234.52</v>
      </c>
      <c r="I78">
        <v>0</v>
      </c>
      <c r="J78">
        <v>114</v>
      </c>
      <c r="K78" t="s">
        <v>2558</v>
      </c>
    </row>
    <row r="79" spans="1:11">
      <c r="A79" t="s">
        <v>2555</v>
      </c>
      <c r="B79" t="s">
        <v>104</v>
      </c>
      <c r="C79" t="s">
        <v>2600</v>
      </c>
      <c r="D79" s="1">
        <v>46124</v>
      </c>
      <c r="E79" s="1">
        <v>46154</v>
      </c>
      <c r="F79">
        <v>89315.72</v>
      </c>
      <c r="G79" t="s">
        <v>2568</v>
      </c>
      <c r="H79">
        <v>89315.72</v>
      </c>
      <c r="I79">
        <v>0</v>
      </c>
      <c r="J79">
        <v>111</v>
      </c>
      <c r="K79" t="s">
        <v>2558</v>
      </c>
    </row>
    <row r="80" spans="1:11">
      <c r="A80" t="s">
        <v>2555</v>
      </c>
      <c r="B80" t="s">
        <v>107</v>
      </c>
      <c r="C80" t="s">
        <v>2601</v>
      </c>
      <c r="D80" s="1">
        <v>46130</v>
      </c>
      <c r="E80" s="1">
        <v>46160</v>
      </c>
      <c r="F80">
        <v>112204.87</v>
      </c>
      <c r="G80" t="s">
        <v>2574</v>
      </c>
      <c r="H80">
        <v>112204.87</v>
      </c>
      <c r="I80">
        <v>0</v>
      </c>
      <c r="J80">
        <v>105</v>
      </c>
      <c r="K80" t="s">
        <v>2558</v>
      </c>
    </row>
    <row r="81" spans="1:11">
      <c r="A81" t="s">
        <v>2555</v>
      </c>
      <c r="B81" t="s">
        <v>594</v>
      </c>
      <c r="C81" t="s">
        <v>2598</v>
      </c>
      <c r="D81" s="1">
        <v>46117</v>
      </c>
      <c r="E81" s="1">
        <v>46147</v>
      </c>
      <c r="F81">
        <v>36439.1</v>
      </c>
      <c r="G81" t="s">
        <v>2566</v>
      </c>
      <c r="H81">
        <v>36439.1</v>
      </c>
      <c r="I81">
        <v>0</v>
      </c>
      <c r="J81">
        <v>118</v>
      </c>
      <c r="K81" t="s">
        <v>2558</v>
      </c>
    </row>
    <row r="82" spans="1:11">
      <c r="A82" t="s">
        <v>2555</v>
      </c>
      <c r="B82" t="s">
        <v>109</v>
      </c>
      <c r="C82" t="s">
        <v>2579</v>
      </c>
      <c r="D82" s="1">
        <v>46131</v>
      </c>
      <c r="E82" s="1">
        <v>46161</v>
      </c>
      <c r="F82">
        <v>1311016.5</v>
      </c>
      <c r="G82" t="s">
        <v>2557</v>
      </c>
      <c r="H82">
        <v>1311016.5</v>
      </c>
      <c r="I82">
        <v>0</v>
      </c>
      <c r="J82">
        <v>104</v>
      </c>
      <c r="K82" t="s">
        <v>2558</v>
      </c>
    </row>
    <row r="83" spans="1:11">
      <c r="A83" t="s">
        <v>2555</v>
      </c>
      <c r="B83" t="s">
        <v>111</v>
      </c>
      <c r="C83" t="s">
        <v>2572</v>
      </c>
      <c r="D83" s="1">
        <v>46137</v>
      </c>
      <c r="E83" s="1">
        <v>46152</v>
      </c>
      <c r="F83">
        <v>15449.06</v>
      </c>
      <c r="G83" t="s">
        <v>2557</v>
      </c>
      <c r="H83">
        <v>15449.060000000001</v>
      </c>
      <c r="I83">
        <v>0</v>
      </c>
      <c r="J83">
        <v>113</v>
      </c>
      <c r="K83" t="s">
        <v>2558</v>
      </c>
    </row>
    <row r="84" spans="1:11">
      <c r="A84" t="s">
        <v>2555</v>
      </c>
      <c r="B84" t="s">
        <v>214</v>
      </c>
      <c r="C84" t="s">
        <v>2600</v>
      </c>
      <c r="D84" s="1">
        <v>46117</v>
      </c>
      <c r="E84" s="1">
        <v>46147</v>
      </c>
      <c r="F84">
        <v>54355.69</v>
      </c>
      <c r="G84" t="s">
        <v>2568</v>
      </c>
      <c r="H84">
        <v>30696.69</v>
      </c>
      <c r="I84">
        <v>23659</v>
      </c>
      <c r="J84">
        <v>118</v>
      </c>
      <c r="K84" t="s">
        <v>2563</v>
      </c>
    </row>
    <row r="85" spans="1:11">
      <c r="A85" t="s">
        <v>2555</v>
      </c>
      <c r="B85" t="s">
        <v>115</v>
      </c>
      <c r="C85" t="s">
        <v>2601</v>
      </c>
      <c r="D85" s="1">
        <v>46124</v>
      </c>
      <c r="E85" s="1">
        <v>46154</v>
      </c>
      <c r="F85">
        <v>75244.5</v>
      </c>
      <c r="G85" t="s">
        <v>2574</v>
      </c>
      <c r="H85">
        <v>75244.5</v>
      </c>
      <c r="I85">
        <v>0</v>
      </c>
      <c r="J85">
        <v>111</v>
      </c>
      <c r="K85" t="s">
        <v>2558</v>
      </c>
    </row>
    <row r="86" spans="1:11">
      <c r="A86" t="s">
        <v>2555</v>
      </c>
      <c r="B86" t="s">
        <v>273</v>
      </c>
      <c r="C86" t="s">
        <v>2564</v>
      </c>
      <c r="D86" s="1">
        <v>46117</v>
      </c>
      <c r="E86" s="1">
        <v>46177</v>
      </c>
      <c r="F86">
        <v>472566.69</v>
      </c>
      <c r="G86" t="s">
        <v>2562</v>
      </c>
      <c r="H86">
        <v>472566.69</v>
      </c>
      <c r="I86">
        <v>0</v>
      </c>
      <c r="J86">
        <v>88</v>
      </c>
      <c r="K86" t="s">
        <v>2558</v>
      </c>
    </row>
    <row r="87" spans="1:11">
      <c r="A87" t="s">
        <v>2555</v>
      </c>
      <c r="B87" t="s">
        <v>117</v>
      </c>
      <c r="C87" t="s">
        <v>2556</v>
      </c>
      <c r="D87" s="1">
        <v>46127</v>
      </c>
      <c r="E87" s="1">
        <v>46157</v>
      </c>
      <c r="F87">
        <v>132211.53</v>
      </c>
      <c r="G87" t="s">
        <v>2557</v>
      </c>
      <c r="H87">
        <v>132211.53</v>
      </c>
      <c r="I87">
        <v>0</v>
      </c>
      <c r="J87">
        <v>108</v>
      </c>
      <c r="K87" t="s">
        <v>2558</v>
      </c>
    </row>
    <row r="88" spans="1:11">
      <c r="A88" t="s">
        <v>2555</v>
      </c>
      <c r="B88" t="s">
        <v>119</v>
      </c>
      <c r="C88" t="s">
        <v>2565</v>
      </c>
      <c r="D88" s="1">
        <v>46137</v>
      </c>
      <c r="E88" s="1">
        <v>46152</v>
      </c>
      <c r="F88">
        <v>13728.14</v>
      </c>
      <c r="G88" t="s">
        <v>2566</v>
      </c>
      <c r="H88">
        <v>13728.14</v>
      </c>
      <c r="I88">
        <v>0</v>
      </c>
      <c r="J88">
        <v>113</v>
      </c>
      <c r="K88" t="s">
        <v>2558</v>
      </c>
    </row>
    <row r="89" spans="1:11">
      <c r="A89" t="s">
        <v>2555</v>
      </c>
      <c r="B89" t="s">
        <v>386</v>
      </c>
      <c r="C89" t="s">
        <v>2594</v>
      </c>
      <c r="D89" s="1">
        <v>46117</v>
      </c>
      <c r="E89" s="1">
        <v>46147</v>
      </c>
      <c r="F89">
        <v>199798.54</v>
      </c>
      <c r="G89" t="s">
        <v>2557</v>
      </c>
      <c r="H89">
        <v>199798.53999999998</v>
      </c>
      <c r="I89">
        <v>0</v>
      </c>
      <c r="J89">
        <v>118</v>
      </c>
      <c r="K89" t="s">
        <v>2558</v>
      </c>
    </row>
    <row r="90" spans="1:11">
      <c r="A90" t="s">
        <v>2555</v>
      </c>
      <c r="B90" t="s">
        <v>121</v>
      </c>
      <c r="C90" t="s">
        <v>2580</v>
      </c>
      <c r="D90" s="1">
        <v>46137</v>
      </c>
      <c r="E90" s="1">
        <v>46152</v>
      </c>
      <c r="F90">
        <v>32289.43</v>
      </c>
      <c r="G90" t="s">
        <v>2557</v>
      </c>
      <c r="H90">
        <v>32289.43</v>
      </c>
      <c r="I90">
        <v>0</v>
      </c>
      <c r="J90">
        <v>113</v>
      </c>
      <c r="K90" t="s">
        <v>2558</v>
      </c>
    </row>
    <row r="91" spans="1:11">
      <c r="A91" t="s">
        <v>2555</v>
      </c>
      <c r="B91" t="s">
        <v>282</v>
      </c>
      <c r="C91" t="s">
        <v>2602</v>
      </c>
      <c r="D91" s="1">
        <v>46118</v>
      </c>
      <c r="E91" s="1">
        <v>46178</v>
      </c>
      <c r="F91">
        <v>255194.2</v>
      </c>
      <c r="G91" t="s">
        <v>2562</v>
      </c>
      <c r="H91">
        <v>255194.2</v>
      </c>
      <c r="I91">
        <v>0</v>
      </c>
      <c r="J91">
        <v>87</v>
      </c>
      <c r="K91" t="s">
        <v>2558</v>
      </c>
    </row>
    <row r="92" spans="1:11">
      <c r="A92" t="s">
        <v>2555</v>
      </c>
      <c r="B92" t="s">
        <v>123</v>
      </c>
      <c r="C92" t="s">
        <v>2603</v>
      </c>
      <c r="D92" s="1">
        <v>46119</v>
      </c>
      <c r="E92" s="1">
        <v>46149</v>
      </c>
      <c r="F92">
        <v>72517.64</v>
      </c>
      <c r="G92" t="s">
        <v>2557</v>
      </c>
      <c r="H92">
        <v>85590.61</v>
      </c>
      <c r="I92">
        <v>-13072.97</v>
      </c>
      <c r="J92">
        <v>116</v>
      </c>
      <c r="K92" t="s">
        <v>2558</v>
      </c>
    </row>
    <row r="93" spans="1:11">
      <c r="A93" t="s">
        <v>2555</v>
      </c>
      <c r="B93" t="s">
        <v>125</v>
      </c>
      <c r="C93" t="s">
        <v>2604</v>
      </c>
      <c r="D93" s="1">
        <v>46126</v>
      </c>
      <c r="E93" s="1">
        <v>46171</v>
      </c>
      <c r="F93">
        <v>156659.23000000001</v>
      </c>
      <c r="G93" t="s">
        <v>2562</v>
      </c>
      <c r="H93">
        <v>156659.23000000001</v>
      </c>
      <c r="I93">
        <v>0</v>
      </c>
      <c r="J93">
        <v>94</v>
      </c>
      <c r="K93" t="s">
        <v>2558</v>
      </c>
    </row>
    <row r="94" spans="1:11">
      <c r="A94" t="s">
        <v>2555</v>
      </c>
      <c r="B94" t="s">
        <v>135</v>
      </c>
      <c r="C94" t="s">
        <v>2570</v>
      </c>
      <c r="D94" s="1">
        <v>46118</v>
      </c>
      <c r="E94" s="1">
        <v>46148</v>
      </c>
      <c r="F94">
        <v>520432.09</v>
      </c>
      <c r="G94" t="s">
        <v>2557</v>
      </c>
      <c r="H94">
        <v>520432.09</v>
      </c>
      <c r="I94">
        <v>0</v>
      </c>
      <c r="J94">
        <v>117</v>
      </c>
      <c r="K94" t="s">
        <v>2558</v>
      </c>
    </row>
    <row r="95" spans="1:11">
      <c r="A95" t="s">
        <v>2555</v>
      </c>
      <c r="B95" t="s">
        <v>127</v>
      </c>
      <c r="C95" t="s">
        <v>2581</v>
      </c>
      <c r="D95" s="1">
        <v>46127</v>
      </c>
      <c r="E95" s="1">
        <v>46142</v>
      </c>
      <c r="F95">
        <v>102613.64</v>
      </c>
      <c r="G95" t="s">
        <v>2562</v>
      </c>
      <c r="H95">
        <v>102613.64</v>
      </c>
      <c r="I95">
        <v>0</v>
      </c>
      <c r="J95">
        <v>123</v>
      </c>
      <c r="K95" t="s">
        <v>2558</v>
      </c>
    </row>
    <row r="96" spans="1:11">
      <c r="A96" t="s">
        <v>2555</v>
      </c>
      <c r="B96" t="s">
        <v>2605</v>
      </c>
      <c r="C96" t="s">
        <v>2606</v>
      </c>
      <c r="D96" s="1">
        <v>46118</v>
      </c>
      <c r="E96" s="1">
        <v>46133</v>
      </c>
      <c r="F96">
        <v>26255.07</v>
      </c>
      <c r="G96" t="s">
        <v>2562</v>
      </c>
      <c r="I96">
        <v>26255.07</v>
      </c>
      <c r="J96">
        <v>132</v>
      </c>
      <c r="K96" t="s">
        <v>2563</v>
      </c>
    </row>
    <row r="97" spans="1:11">
      <c r="A97" t="s">
        <v>2555</v>
      </c>
      <c r="B97" t="s">
        <v>129</v>
      </c>
      <c r="C97" t="s">
        <v>2607</v>
      </c>
      <c r="D97" s="1">
        <v>46127</v>
      </c>
      <c r="E97" s="1">
        <v>46157</v>
      </c>
      <c r="F97">
        <v>552532.4</v>
      </c>
      <c r="G97" t="s">
        <v>2562</v>
      </c>
      <c r="H97">
        <v>552532.4</v>
      </c>
      <c r="I97">
        <v>0</v>
      </c>
      <c r="J97">
        <v>108</v>
      </c>
      <c r="K97" t="s">
        <v>2558</v>
      </c>
    </row>
    <row r="98" spans="1:11">
      <c r="A98" t="s">
        <v>2555</v>
      </c>
      <c r="B98" t="s">
        <v>131</v>
      </c>
      <c r="C98" t="s">
        <v>2580</v>
      </c>
      <c r="D98" s="1">
        <v>46130</v>
      </c>
      <c r="E98" s="1">
        <v>46145</v>
      </c>
      <c r="F98">
        <v>113887.38</v>
      </c>
      <c r="G98" t="s">
        <v>2557</v>
      </c>
      <c r="H98">
        <v>113887.38</v>
      </c>
      <c r="I98">
        <v>0</v>
      </c>
      <c r="J98">
        <v>120</v>
      </c>
      <c r="K98" t="s">
        <v>2558</v>
      </c>
    </row>
    <row r="99" spans="1:11">
      <c r="A99" t="s">
        <v>2555</v>
      </c>
      <c r="B99" t="s">
        <v>141</v>
      </c>
      <c r="C99" t="s">
        <v>2608</v>
      </c>
      <c r="D99" s="1">
        <v>46118</v>
      </c>
      <c r="E99" s="1">
        <v>46163</v>
      </c>
      <c r="F99">
        <v>320111.78000000003</v>
      </c>
      <c r="G99" t="s">
        <v>2560</v>
      </c>
      <c r="H99">
        <v>320111.78000000003</v>
      </c>
      <c r="I99">
        <v>0</v>
      </c>
      <c r="J99">
        <v>102</v>
      </c>
      <c r="K99" t="s">
        <v>2558</v>
      </c>
    </row>
    <row r="100" spans="1:11">
      <c r="A100" t="s">
        <v>2555</v>
      </c>
      <c r="B100" t="s">
        <v>481</v>
      </c>
      <c r="C100" t="s">
        <v>2599</v>
      </c>
      <c r="D100" s="1">
        <v>46118</v>
      </c>
      <c r="E100" s="1">
        <v>46178</v>
      </c>
      <c r="F100">
        <v>570751.1</v>
      </c>
      <c r="G100" t="s">
        <v>2562</v>
      </c>
      <c r="H100">
        <v>253067.18</v>
      </c>
      <c r="I100">
        <v>317683.92</v>
      </c>
      <c r="J100">
        <v>87</v>
      </c>
      <c r="K100" t="s">
        <v>2609</v>
      </c>
    </row>
    <row r="101" spans="1:11">
      <c r="A101" t="s">
        <v>2555</v>
      </c>
      <c r="B101" t="s">
        <v>185</v>
      </c>
      <c r="C101" t="s">
        <v>2601</v>
      </c>
      <c r="D101" s="1">
        <v>46118</v>
      </c>
      <c r="E101" s="1">
        <v>46148</v>
      </c>
      <c r="F101">
        <v>192481.42</v>
      </c>
      <c r="G101" t="s">
        <v>2574</v>
      </c>
      <c r="H101">
        <v>192481.42</v>
      </c>
      <c r="I101">
        <v>0</v>
      </c>
      <c r="J101">
        <v>117</v>
      </c>
      <c r="K101" t="s">
        <v>2558</v>
      </c>
    </row>
    <row r="102" spans="1:11">
      <c r="A102" t="s">
        <v>2555</v>
      </c>
      <c r="B102" t="s">
        <v>137</v>
      </c>
      <c r="C102" t="s">
        <v>2570</v>
      </c>
      <c r="D102" s="1">
        <v>46120</v>
      </c>
      <c r="E102" s="1">
        <v>46150</v>
      </c>
      <c r="F102">
        <v>544610.97</v>
      </c>
      <c r="G102" t="s">
        <v>2557</v>
      </c>
      <c r="H102">
        <v>544610.97</v>
      </c>
      <c r="I102">
        <v>0</v>
      </c>
      <c r="J102">
        <v>115</v>
      </c>
      <c r="K102" t="s">
        <v>2558</v>
      </c>
    </row>
    <row r="103" spans="1:11">
      <c r="A103" t="s">
        <v>2555</v>
      </c>
      <c r="B103" t="s">
        <v>551</v>
      </c>
      <c r="C103" t="s">
        <v>2610</v>
      </c>
      <c r="D103" s="1">
        <v>46118</v>
      </c>
      <c r="E103" s="1">
        <v>46178</v>
      </c>
      <c r="F103">
        <v>488192.55</v>
      </c>
      <c r="G103" t="s">
        <v>2574</v>
      </c>
      <c r="H103">
        <v>488192.55</v>
      </c>
      <c r="I103">
        <v>0</v>
      </c>
      <c r="J103">
        <v>87</v>
      </c>
      <c r="K103" t="s">
        <v>2558</v>
      </c>
    </row>
    <row r="104" spans="1:11">
      <c r="A104" t="s">
        <v>2555</v>
      </c>
      <c r="B104" t="s">
        <v>139</v>
      </c>
      <c r="C104" t="s">
        <v>2604</v>
      </c>
      <c r="D104" s="1">
        <v>46125</v>
      </c>
      <c r="E104" s="1">
        <v>46170</v>
      </c>
      <c r="F104">
        <v>67859.210000000006</v>
      </c>
      <c r="G104" t="s">
        <v>2562</v>
      </c>
      <c r="H104">
        <v>67859.210000000006</v>
      </c>
      <c r="I104">
        <v>0</v>
      </c>
      <c r="J104">
        <v>95</v>
      </c>
      <c r="K104" t="s">
        <v>2558</v>
      </c>
    </row>
    <row r="105" spans="1:11">
      <c r="A105" t="s">
        <v>2555</v>
      </c>
      <c r="B105" t="s">
        <v>143</v>
      </c>
      <c r="C105" t="s">
        <v>2572</v>
      </c>
      <c r="D105" s="1">
        <v>46118</v>
      </c>
      <c r="E105" s="1">
        <v>46133</v>
      </c>
      <c r="F105">
        <v>31535.08</v>
      </c>
      <c r="G105" t="s">
        <v>2557</v>
      </c>
      <c r="H105">
        <v>31535.08</v>
      </c>
      <c r="I105">
        <v>0</v>
      </c>
      <c r="J105">
        <v>132</v>
      </c>
      <c r="K105" t="s">
        <v>2558</v>
      </c>
    </row>
    <row r="106" spans="1:11">
      <c r="A106" t="s">
        <v>2555</v>
      </c>
      <c r="B106" t="s">
        <v>341</v>
      </c>
      <c r="C106" t="s">
        <v>2571</v>
      </c>
      <c r="D106" s="1">
        <v>46119</v>
      </c>
      <c r="E106" s="1">
        <v>46164</v>
      </c>
      <c r="F106">
        <v>531262.05000000005</v>
      </c>
      <c r="G106" t="s">
        <v>2568</v>
      </c>
      <c r="H106">
        <v>531262.05000000005</v>
      </c>
      <c r="I106">
        <v>0</v>
      </c>
      <c r="J106">
        <v>101</v>
      </c>
      <c r="K106" t="s">
        <v>2558</v>
      </c>
    </row>
    <row r="107" spans="1:11">
      <c r="A107" t="s">
        <v>2555</v>
      </c>
      <c r="B107" t="s">
        <v>145</v>
      </c>
      <c r="C107" t="s">
        <v>2579</v>
      </c>
      <c r="D107" s="1">
        <v>46138</v>
      </c>
      <c r="E107" s="1">
        <v>46168</v>
      </c>
      <c r="F107">
        <v>537681.73</v>
      </c>
      <c r="G107" t="s">
        <v>2557</v>
      </c>
      <c r="H107">
        <v>537681.73</v>
      </c>
      <c r="I107">
        <v>0</v>
      </c>
      <c r="J107">
        <v>97</v>
      </c>
      <c r="K107" t="s">
        <v>2558</v>
      </c>
    </row>
    <row r="108" spans="1:11">
      <c r="A108" t="s">
        <v>2555</v>
      </c>
      <c r="B108" t="s">
        <v>187</v>
      </c>
      <c r="C108" t="s">
        <v>2573</v>
      </c>
      <c r="D108" s="1">
        <v>46119</v>
      </c>
      <c r="E108" s="1">
        <v>46149</v>
      </c>
      <c r="F108">
        <v>39270.25</v>
      </c>
      <c r="G108" t="s">
        <v>2574</v>
      </c>
      <c r="H108">
        <v>39270.25</v>
      </c>
      <c r="I108">
        <v>0</v>
      </c>
      <c r="J108">
        <v>116</v>
      </c>
      <c r="K108" t="s">
        <v>2558</v>
      </c>
    </row>
    <row r="109" spans="1:11">
      <c r="A109" t="s">
        <v>2555</v>
      </c>
      <c r="B109" t="s">
        <v>152</v>
      </c>
      <c r="C109" t="s">
        <v>2611</v>
      </c>
      <c r="D109" s="1">
        <v>46128</v>
      </c>
      <c r="E109" s="1">
        <v>46173</v>
      </c>
      <c r="F109">
        <v>217655.91</v>
      </c>
      <c r="G109" t="s">
        <v>2566</v>
      </c>
      <c r="H109">
        <v>217655.91</v>
      </c>
      <c r="I109">
        <v>0</v>
      </c>
      <c r="J109">
        <v>92</v>
      </c>
      <c r="K109" t="s">
        <v>2558</v>
      </c>
    </row>
    <row r="110" spans="1:11">
      <c r="A110" t="s">
        <v>2555</v>
      </c>
      <c r="B110" t="s">
        <v>837</v>
      </c>
      <c r="C110" t="s">
        <v>2582</v>
      </c>
      <c r="D110" s="1">
        <v>46119</v>
      </c>
      <c r="E110" s="1">
        <v>46149</v>
      </c>
      <c r="F110">
        <v>306190.63</v>
      </c>
      <c r="G110" t="s">
        <v>2557</v>
      </c>
      <c r="H110">
        <v>106916.59</v>
      </c>
      <c r="I110">
        <v>199274.04</v>
      </c>
      <c r="J110">
        <v>116</v>
      </c>
      <c r="K110" t="s">
        <v>2563</v>
      </c>
    </row>
    <row r="111" spans="1:11">
      <c r="A111" t="s">
        <v>2555</v>
      </c>
      <c r="B111" t="s">
        <v>154</v>
      </c>
      <c r="C111" t="s">
        <v>2575</v>
      </c>
      <c r="D111" s="1">
        <v>46130</v>
      </c>
      <c r="E111" s="1">
        <v>46145</v>
      </c>
      <c r="F111">
        <v>156894.60999999999</v>
      </c>
      <c r="G111" t="s">
        <v>2574</v>
      </c>
      <c r="H111">
        <v>156894.60999999999</v>
      </c>
      <c r="I111">
        <v>0</v>
      </c>
      <c r="J111">
        <v>120</v>
      </c>
      <c r="K111" t="s">
        <v>2558</v>
      </c>
    </row>
    <row r="112" spans="1:11">
      <c r="A112" t="s">
        <v>2555</v>
      </c>
      <c r="B112" t="s">
        <v>667</v>
      </c>
      <c r="C112" t="s">
        <v>2576</v>
      </c>
      <c r="D112" s="1">
        <v>46120</v>
      </c>
      <c r="E112" s="1">
        <v>46165</v>
      </c>
      <c r="F112">
        <v>359190.45</v>
      </c>
      <c r="G112" t="s">
        <v>2566</v>
      </c>
      <c r="H112">
        <v>359190.45</v>
      </c>
      <c r="I112">
        <v>0</v>
      </c>
      <c r="J112">
        <v>100</v>
      </c>
      <c r="K112" t="s">
        <v>2558</v>
      </c>
    </row>
    <row r="113" spans="1:11">
      <c r="A113" t="s">
        <v>2555</v>
      </c>
      <c r="B113" t="s">
        <v>156</v>
      </c>
      <c r="C113" t="s">
        <v>2559</v>
      </c>
      <c r="D113" s="1">
        <v>46130</v>
      </c>
      <c r="E113" s="1">
        <v>46145</v>
      </c>
      <c r="F113">
        <v>55990.21</v>
      </c>
      <c r="G113" t="s">
        <v>2560</v>
      </c>
      <c r="H113">
        <v>55990.21</v>
      </c>
      <c r="I113">
        <v>0</v>
      </c>
      <c r="J113">
        <v>120</v>
      </c>
      <c r="K113" t="s">
        <v>2558</v>
      </c>
    </row>
    <row r="114" spans="1:11">
      <c r="A114" t="s">
        <v>2555</v>
      </c>
      <c r="B114" t="s">
        <v>669</v>
      </c>
      <c r="C114" t="s">
        <v>2569</v>
      </c>
      <c r="D114" s="1">
        <v>46120</v>
      </c>
      <c r="E114" s="1">
        <v>46135</v>
      </c>
      <c r="F114">
        <v>17505.68</v>
      </c>
      <c r="G114" t="s">
        <v>2557</v>
      </c>
      <c r="H114">
        <v>17505.68</v>
      </c>
      <c r="I114">
        <v>0</v>
      </c>
      <c r="J114">
        <v>130</v>
      </c>
      <c r="K114" t="s">
        <v>2558</v>
      </c>
    </row>
    <row r="115" spans="1:11">
      <c r="A115" t="s">
        <v>2555</v>
      </c>
      <c r="B115" t="s">
        <v>158</v>
      </c>
      <c r="C115" t="s">
        <v>2561</v>
      </c>
      <c r="D115" s="1">
        <v>46140</v>
      </c>
      <c r="E115" s="1">
        <v>46185</v>
      </c>
      <c r="F115">
        <v>238781.2</v>
      </c>
      <c r="G115" t="s">
        <v>2562</v>
      </c>
      <c r="H115">
        <v>238781.2</v>
      </c>
      <c r="I115">
        <v>0</v>
      </c>
      <c r="J115">
        <v>80</v>
      </c>
      <c r="K115" t="s">
        <v>2558</v>
      </c>
    </row>
    <row r="116" spans="1:11">
      <c r="A116" t="s">
        <v>2555</v>
      </c>
      <c r="B116" t="s">
        <v>177</v>
      </c>
      <c r="C116" t="s">
        <v>2577</v>
      </c>
      <c r="D116" s="1">
        <v>46120</v>
      </c>
      <c r="E116" s="1">
        <v>46150</v>
      </c>
      <c r="F116">
        <v>23608.31</v>
      </c>
      <c r="G116" t="s">
        <v>2562</v>
      </c>
      <c r="H116">
        <v>23608.31</v>
      </c>
      <c r="I116">
        <v>0</v>
      </c>
      <c r="J116">
        <v>115</v>
      </c>
      <c r="K116" t="s">
        <v>2558</v>
      </c>
    </row>
    <row r="117" spans="1:11">
      <c r="A117" t="s">
        <v>2555</v>
      </c>
      <c r="B117" t="s">
        <v>803</v>
      </c>
      <c r="C117" t="s">
        <v>2611</v>
      </c>
      <c r="D117" s="1">
        <v>46120</v>
      </c>
      <c r="E117" s="1">
        <v>46165</v>
      </c>
      <c r="F117">
        <v>693940.42</v>
      </c>
      <c r="G117" t="s">
        <v>2566</v>
      </c>
      <c r="H117">
        <v>693940.42</v>
      </c>
      <c r="I117">
        <v>0</v>
      </c>
      <c r="J117">
        <v>100</v>
      </c>
      <c r="K117" t="s">
        <v>2558</v>
      </c>
    </row>
    <row r="118" spans="1:11">
      <c r="A118" t="s">
        <v>2555</v>
      </c>
      <c r="B118" t="s">
        <v>163</v>
      </c>
      <c r="C118" t="s">
        <v>2579</v>
      </c>
      <c r="D118" s="1">
        <v>46121</v>
      </c>
      <c r="E118" s="1">
        <v>46151</v>
      </c>
      <c r="F118">
        <v>292953.32</v>
      </c>
      <c r="G118" t="s">
        <v>2557</v>
      </c>
      <c r="H118">
        <v>292953.32</v>
      </c>
      <c r="I118">
        <v>0</v>
      </c>
      <c r="J118">
        <v>114</v>
      </c>
      <c r="K118" t="s">
        <v>2558</v>
      </c>
    </row>
    <row r="119" spans="1:11">
      <c r="A119" t="s">
        <v>2555</v>
      </c>
      <c r="B119" t="s">
        <v>452</v>
      </c>
      <c r="C119" t="s">
        <v>2612</v>
      </c>
      <c r="D119" s="1">
        <v>46120</v>
      </c>
      <c r="E119" s="1">
        <v>46150</v>
      </c>
      <c r="F119">
        <v>35099.67</v>
      </c>
      <c r="G119" t="s">
        <v>2566</v>
      </c>
      <c r="H119">
        <v>35099.67</v>
      </c>
      <c r="I119">
        <v>0</v>
      </c>
      <c r="J119">
        <v>115</v>
      </c>
      <c r="K119" t="s">
        <v>2558</v>
      </c>
    </row>
    <row r="120" spans="1:11">
      <c r="A120" t="s">
        <v>2555</v>
      </c>
      <c r="B120" t="s">
        <v>165</v>
      </c>
      <c r="C120" t="s">
        <v>2600</v>
      </c>
      <c r="D120" s="1">
        <v>46122</v>
      </c>
      <c r="E120" s="1">
        <v>46152</v>
      </c>
      <c r="F120">
        <v>62845.29</v>
      </c>
      <c r="G120" t="s">
        <v>2568</v>
      </c>
      <c r="H120">
        <v>62845.29</v>
      </c>
      <c r="I120">
        <v>0</v>
      </c>
      <c r="J120">
        <v>113</v>
      </c>
      <c r="K120" t="s">
        <v>2558</v>
      </c>
    </row>
    <row r="121" spans="1:11">
      <c r="A121" t="s">
        <v>2555</v>
      </c>
      <c r="B121" t="s">
        <v>417</v>
      </c>
      <c r="C121" t="s">
        <v>2576</v>
      </c>
      <c r="D121" s="1">
        <v>46120</v>
      </c>
      <c r="E121" s="1">
        <v>46165</v>
      </c>
      <c r="F121">
        <v>524985.55000000005</v>
      </c>
      <c r="G121" t="s">
        <v>2566</v>
      </c>
      <c r="H121">
        <v>524985.55000000005</v>
      </c>
      <c r="I121">
        <v>0</v>
      </c>
      <c r="J121">
        <v>100</v>
      </c>
      <c r="K121" t="s">
        <v>2558</v>
      </c>
    </row>
    <row r="122" spans="1:11">
      <c r="A122" t="s">
        <v>2555</v>
      </c>
      <c r="B122" t="s">
        <v>167</v>
      </c>
      <c r="C122" t="s">
        <v>2599</v>
      </c>
      <c r="D122" s="1">
        <v>46139</v>
      </c>
      <c r="E122" s="1">
        <v>46199</v>
      </c>
      <c r="F122">
        <v>109707.86</v>
      </c>
      <c r="G122" t="s">
        <v>2562</v>
      </c>
      <c r="H122">
        <v>109707.86000000002</v>
      </c>
      <c r="I122">
        <v>0</v>
      </c>
      <c r="J122">
        <v>66</v>
      </c>
      <c r="K122" t="s">
        <v>2558</v>
      </c>
    </row>
    <row r="123" spans="1:11">
      <c r="A123" t="s">
        <v>2555</v>
      </c>
      <c r="B123" t="s">
        <v>169</v>
      </c>
      <c r="C123" t="s">
        <v>2606</v>
      </c>
      <c r="D123" s="1">
        <v>46142</v>
      </c>
      <c r="E123" s="1">
        <v>46157</v>
      </c>
      <c r="F123">
        <v>20237.419999999998</v>
      </c>
      <c r="G123" t="s">
        <v>2562</v>
      </c>
      <c r="H123">
        <v>20237.419999999998</v>
      </c>
      <c r="I123">
        <v>0</v>
      </c>
      <c r="J123">
        <v>108</v>
      </c>
      <c r="K123" t="s">
        <v>2558</v>
      </c>
    </row>
    <row r="124" spans="1:11">
      <c r="A124" t="s">
        <v>2555</v>
      </c>
      <c r="B124" t="s">
        <v>896</v>
      </c>
      <c r="C124" t="s">
        <v>2582</v>
      </c>
      <c r="D124" s="1">
        <v>46120</v>
      </c>
      <c r="E124" s="1">
        <v>46150</v>
      </c>
      <c r="F124">
        <v>287171.09000000003</v>
      </c>
      <c r="G124" t="s">
        <v>2557</v>
      </c>
      <c r="H124">
        <v>287171.09000000003</v>
      </c>
      <c r="I124">
        <v>0</v>
      </c>
      <c r="J124">
        <v>115</v>
      </c>
      <c r="K124" t="s">
        <v>2558</v>
      </c>
    </row>
    <row r="125" spans="1:11">
      <c r="A125" t="s">
        <v>2555</v>
      </c>
      <c r="B125" t="s">
        <v>189</v>
      </c>
      <c r="C125" t="s">
        <v>2607</v>
      </c>
      <c r="D125" s="1">
        <v>46120</v>
      </c>
      <c r="E125" s="1">
        <v>46150</v>
      </c>
      <c r="F125">
        <v>43318.080000000002</v>
      </c>
      <c r="G125" t="s">
        <v>2562</v>
      </c>
      <c r="H125">
        <v>43318.080000000002</v>
      </c>
      <c r="I125">
        <v>0</v>
      </c>
      <c r="J125">
        <v>115</v>
      </c>
      <c r="K125" t="s">
        <v>2558</v>
      </c>
    </row>
    <row r="126" spans="1:11">
      <c r="A126" t="s">
        <v>2555</v>
      </c>
      <c r="B126" t="s">
        <v>839</v>
      </c>
      <c r="C126" t="s">
        <v>2570</v>
      </c>
      <c r="D126" s="1">
        <v>46121</v>
      </c>
      <c r="E126" s="1">
        <v>46151</v>
      </c>
      <c r="F126">
        <v>1495716.75</v>
      </c>
      <c r="G126" t="s">
        <v>2557</v>
      </c>
      <c r="H126">
        <v>1495716.75</v>
      </c>
      <c r="I126">
        <v>0</v>
      </c>
      <c r="J126">
        <v>114</v>
      </c>
      <c r="K126" t="s">
        <v>2558</v>
      </c>
    </row>
    <row r="127" spans="1:11">
      <c r="A127" t="s">
        <v>2555</v>
      </c>
      <c r="B127" t="s">
        <v>179</v>
      </c>
      <c r="C127" t="s">
        <v>2601</v>
      </c>
      <c r="D127" s="1">
        <v>46137</v>
      </c>
      <c r="E127" s="1">
        <v>46167</v>
      </c>
      <c r="F127">
        <v>23669.47</v>
      </c>
      <c r="G127" t="s">
        <v>2574</v>
      </c>
      <c r="H127">
        <v>23669.47</v>
      </c>
      <c r="I127">
        <v>0</v>
      </c>
      <c r="J127">
        <v>98</v>
      </c>
      <c r="K127" t="s">
        <v>2558</v>
      </c>
    </row>
    <row r="128" spans="1:11">
      <c r="A128" t="s">
        <v>2555</v>
      </c>
      <c r="B128" t="s">
        <v>388</v>
      </c>
      <c r="C128" t="s">
        <v>2582</v>
      </c>
      <c r="D128" s="1">
        <v>46121</v>
      </c>
      <c r="E128" s="1">
        <v>46151</v>
      </c>
      <c r="F128">
        <v>87002.33</v>
      </c>
      <c r="G128" t="s">
        <v>2557</v>
      </c>
      <c r="H128">
        <v>87002.33</v>
      </c>
      <c r="I128">
        <v>0</v>
      </c>
      <c r="J128">
        <v>114</v>
      </c>
      <c r="K128" t="s">
        <v>2558</v>
      </c>
    </row>
    <row r="129" spans="1:11">
      <c r="A129" t="s">
        <v>2555</v>
      </c>
      <c r="B129" t="s">
        <v>181</v>
      </c>
      <c r="C129" t="s">
        <v>2603</v>
      </c>
      <c r="D129" s="1">
        <v>46137</v>
      </c>
      <c r="E129" s="1">
        <v>46167</v>
      </c>
      <c r="F129">
        <v>5712.31</v>
      </c>
      <c r="G129" t="s">
        <v>2557</v>
      </c>
      <c r="H129">
        <v>5712.31</v>
      </c>
      <c r="I129">
        <v>0</v>
      </c>
      <c r="J129">
        <v>98</v>
      </c>
      <c r="K129" t="s">
        <v>2558</v>
      </c>
    </row>
    <row r="130" spans="1:11">
      <c r="A130" t="s">
        <v>2555</v>
      </c>
      <c r="B130" t="s">
        <v>183</v>
      </c>
      <c r="C130" t="s">
        <v>2575</v>
      </c>
      <c r="D130" s="1">
        <v>46138</v>
      </c>
      <c r="E130" s="1">
        <v>46153</v>
      </c>
      <c r="F130">
        <v>9983</v>
      </c>
      <c r="G130" t="s">
        <v>2574</v>
      </c>
      <c r="H130">
        <v>9983</v>
      </c>
      <c r="I130">
        <v>0</v>
      </c>
      <c r="J130">
        <v>112</v>
      </c>
      <c r="K130" t="s">
        <v>2558</v>
      </c>
    </row>
    <row r="131" spans="1:11">
      <c r="A131" t="s">
        <v>2555</v>
      </c>
      <c r="B131" t="s">
        <v>469</v>
      </c>
      <c r="C131" t="s">
        <v>2613</v>
      </c>
      <c r="D131" s="1">
        <v>46121</v>
      </c>
      <c r="E131" s="1">
        <v>46181</v>
      </c>
      <c r="F131">
        <v>51875.72</v>
      </c>
      <c r="G131" t="s">
        <v>2560</v>
      </c>
      <c r="H131">
        <v>51875.72</v>
      </c>
      <c r="I131">
        <v>0</v>
      </c>
      <c r="J131">
        <v>84</v>
      </c>
      <c r="K131" t="s">
        <v>2558</v>
      </c>
    </row>
    <row r="132" spans="1:11">
      <c r="A132" t="s">
        <v>2555</v>
      </c>
      <c r="B132" t="s">
        <v>597</v>
      </c>
      <c r="C132" t="s">
        <v>2612</v>
      </c>
      <c r="D132" s="1">
        <v>46121</v>
      </c>
      <c r="E132" s="1">
        <v>46151</v>
      </c>
      <c r="F132">
        <v>13268</v>
      </c>
      <c r="G132" t="s">
        <v>2566</v>
      </c>
      <c r="H132">
        <v>13268</v>
      </c>
      <c r="I132">
        <v>0</v>
      </c>
      <c r="J132">
        <v>114</v>
      </c>
      <c r="K132" t="s">
        <v>2558</v>
      </c>
    </row>
    <row r="133" spans="1:11">
      <c r="A133" t="s">
        <v>2555</v>
      </c>
      <c r="B133" t="s">
        <v>191</v>
      </c>
      <c r="C133" t="s">
        <v>2600</v>
      </c>
      <c r="D133" s="1">
        <v>46124</v>
      </c>
      <c r="E133" s="1">
        <v>46154</v>
      </c>
      <c r="F133">
        <v>55492.68</v>
      </c>
      <c r="G133" t="s">
        <v>2568</v>
      </c>
      <c r="H133">
        <v>55492.68</v>
      </c>
      <c r="I133">
        <v>0</v>
      </c>
      <c r="J133">
        <v>111</v>
      </c>
      <c r="K133" t="s">
        <v>2558</v>
      </c>
    </row>
    <row r="134" spans="1:11">
      <c r="A134" t="s">
        <v>2555</v>
      </c>
      <c r="B134" t="s">
        <v>523</v>
      </c>
      <c r="C134" t="s">
        <v>2608</v>
      </c>
      <c r="D134" s="1">
        <v>46121</v>
      </c>
      <c r="E134" s="1">
        <v>46166</v>
      </c>
      <c r="F134">
        <v>101661.84</v>
      </c>
      <c r="G134" t="s">
        <v>2560</v>
      </c>
      <c r="H134">
        <v>101661.84</v>
      </c>
      <c r="I134">
        <v>0</v>
      </c>
      <c r="J134">
        <v>99</v>
      </c>
      <c r="K134" t="s">
        <v>2558</v>
      </c>
    </row>
    <row r="135" spans="1:11">
      <c r="A135" t="s">
        <v>2555</v>
      </c>
      <c r="B135" t="s">
        <v>193</v>
      </c>
      <c r="C135" t="s">
        <v>2570</v>
      </c>
      <c r="D135" s="1">
        <v>46126</v>
      </c>
      <c r="E135" s="1">
        <v>46156</v>
      </c>
      <c r="F135">
        <v>2000000</v>
      </c>
      <c r="G135" t="s">
        <v>2557</v>
      </c>
      <c r="H135">
        <v>2000000</v>
      </c>
      <c r="I135">
        <v>0</v>
      </c>
      <c r="J135">
        <v>109</v>
      </c>
      <c r="K135" t="s">
        <v>2558</v>
      </c>
    </row>
    <row r="136" spans="1:11">
      <c r="A136" t="s">
        <v>2555</v>
      </c>
      <c r="B136" t="s">
        <v>195</v>
      </c>
      <c r="C136" t="s">
        <v>2611</v>
      </c>
      <c r="D136" s="1">
        <v>46139</v>
      </c>
      <c r="E136" s="1">
        <v>46184</v>
      </c>
      <c r="F136">
        <v>2000000</v>
      </c>
      <c r="G136" t="s">
        <v>2566</v>
      </c>
      <c r="H136">
        <v>1235139</v>
      </c>
      <c r="I136">
        <v>764861</v>
      </c>
      <c r="J136">
        <v>81</v>
      </c>
      <c r="K136" t="s">
        <v>2609</v>
      </c>
    </row>
    <row r="137" spans="1:11">
      <c r="A137" t="s">
        <v>2614</v>
      </c>
      <c r="B137" t="s">
        <v>197</v>
      </c>
      <c r="C137" t="s">
        <v>2565</v>
      </c>
      <c r="D137" s="1">
        <v>46145</v>
      </c>
      <c r="E137" s="1">
        <v>46160</v>
      </c>
      <c r="F137">
        <v>50730.98</v>
      </c>
      <c r="G137" t="s">
        <v>2566</v>
      </c>
      <c r="H137">
        <v>50730.98</v>
      </c>
      <c r="I137">
        <v>0</v>
      </c>
      <c r="J137">
        <v>105</v>
      </c>
      <c r="K137" t="s">
        <v>2558</v>
      </c>
    </row>
    <row r="138" spans="1:11">
      <c r="A138" t="s">
        <v>2555</v>
      </c>
      <c r="B138" t="s">
        <v>200</v>
      </c>
      <c r="C138" t="s">
        <v>2600</v>
      </c>
      <c r="D138" s="1">
        <v>46125</v>
      </c>
      <c r="E138" s="1">
        <v>46155</v>
      </c>
      <c r="F138">
        <v>67964.539999999994</v>
      </c>
      <c r="G138" t="s">
        <v>2568</v>
      </c>
      <c r="H138">
        <v>67964.539999999994</v>
      </c>
      <c r="I138">
        <v>0</v>
      </c>
      <c r="J138">
        <v>110</v>
      </c>
      <c r="K138" t="s">
        <v>2558</v>
      </c>
    </row>
    <row r="139" spans="1:11">
      <c r="A139" t="s">
        <v>2555</v>
      </c>
      <c r="B139" t="s">
        <v>351</v>
      </c>
      <c r="C139" t="s">
        <v>2583</v>
      </c>
      <c r="D139" s="1">
        <v>46122</v>
      </c>
      <c r="E139" s="1">
        <v>46182</v>
      </c>
      <c r="F139">
        <v>206640.27</v>
      </c>
      <c r="G139" t="s">
        <v>2562</v>
      </c>
      <c r="H139">
        <v>174679.19</v>
      </c>
      <c r="I139">
        <v>31961.08</v>
      </c>
      <c r="J139">
        <v>83</v>
      </c>
      <c r="K139" t="s">
        <v>2609</v>
      </c>
    </row>
    <row r="140" spans="1:11">
      <c r="A140" t="s">
        <v>2555</v>
      </c>
      <c r="B140" t="s">
        <v>202</v>
      </c>
      <c r="C140" t="s">
        <v>2593</v>
      </c>
      <c r="D140" s="1">
        <v>46131</v>
      </c>
      <c r="E140" s="1">
        <v>46161</v>
      </c>
      <c r="F140">
        <v>143793.24</v>
      </c>
      <c r="G140" t="s">
        <v>2574</v>
      </c>
      <c r="H140">
        <v>143793.24</v>
      </c>
      <c r="I140">
        <v>0</v>
      </c>
      <c r="J140">
        <v>104</v>
      </c>
      <c r="K140" t="s">
        <v>2558</v>
      </c>
    </row>
    <row r="141" spans="1:11">
      <c r="A141" t="s">
        <v>2555</v>
      </c>
      <c r="B141" t="s">
        <v>204</v>
      </c>
      <c r="C141" t="s">
        <v>2615</v>
      </c>
      <c r="D141" s="1">
        <v>46134</v>
      </c>
      <c r="E141" s="1">
        <v>46149</v>
      </c>
      <c r="F141">
        <v>18243.12</v>
      </c>
      <c r="G141" t="s">
        <v>2574</v>
      </c>
      <c r="H141">
        <v>18243.12</v>
      </c>
      <c r="I141">
        <v>0</v>
      </c>
      <c r="J141">
        <v>116</v>
      </c>
      <c r="K141" t="s">
        <v>2558</v>
      </c>
    </row>
    <row r="142" spans="1:11">
      <c r="A142" t="s">
        <v>2555</v>
      </c>
      <c r="B142" t="s">
        <v>805</v>
      </c>
      <c r="C142" t="s">
        <v>2616</v>
      </c>
      <c r="D142" s="1">
        <v>46122</v>
      </c>
      <c r="E142" s="1">
        <v>46137</v>
      </c>
      <c r="F142">
        <v>5000</v>
      </c>
      <c r="G142" t="s">
        <v>2560</v>
      </c>
      <c r="H142">
        <v>5000</v>
      </c>
      <c r="I142">
        <v>0</v>
      </c>
      <c r="J142">
        <v>128</v>
      </c>
      <c r="K142" t="s">
        <v>2558</v>
      </c>
    </row>
    <row r="143" spans="1:11">
      <c r="A143" t="s">
        <v>2555</v>
      </c>
      <c r="B143" t="s">
        <v>206</v>
      </c>
      <c r="C143" t="s">
        <v>2598</v>
      </c>
      <c r="D143" s="1">
        <v>46125</v>
      </c>
      <c r="E143" s="1">
        <v>46155</v>
      </c>
      <c r="F143">
        <v>61892.36</v>
      </c>
      <c r="G143" t="s">
        <v>2566</v>
      </c>
      <c r="H143">
        <v>61892.36</v>
      </c>
      <c r="I143">
        <v>0</v>
      </c>
      <c r="J143">
        <v>110</v>
      </c>
      <c r="K143" t="s">
        <v>2558</v>
      </c>
    </row>
    <row r="144" spans="1:11">
      <c r="A144" t="s">
        <v>2555</v>
      </c>
      <c r="B144" t="s">
        <v>2617</v>
      </c>
      <c r="C144" t="s">
        <v>2585</v>
      </c>
      <c r="D144" s="1">
        <v>46122</v>
      </c>
      <c r="E144" s="1">
        <v>46152</v>
      </c>
      <c r="F144">
        <v>268796.59000000003</v>
      </c>
      <c r="G144" t="s">
        <v>2562</v>
      </c>
      <c r="I144">
        <v>268796.59000000003</v>
      </c>
      <c r="J144">
        <v>113</v>
      </c>
      <c r="K144" t="s">
        <v>2563</v>
      </c>
    </row>
    <row r="145" spans="1:11">
      <c r="A145" t="s">
        <v>2555</v>
      </c>
      <c r="B145" t="s">
        <v>208</v>
      </c>
      <c r="C145" t="s">
        <v>2561</v>
      </c>
      <c r="D145" s="1">
        <v>46134</v>
      </c>
      <c r="E145" s="1">
        <v>46179</v>
      </c>
      <c r="F145">
        <v>324887.95</v>
      </c>
      <c r="G145" t="s">
        <v>2562</v>
      </c>
      <c r="H145">
        <v>324887.95</v>
      </c>
      <c r="I145">
        <v>0</v>
      </c>
      <c r="J145">
        <v>86</v>
      </c>
      <c r="K145" t="s">
        <v>2558</v>
      </c>
    </row>
    <row r="146" spans="1:11">
      <c r="A146" t="s">
        <v>2555</v>
      </c>
      <c r="B146" t="s">
        <v>208</v>
      </c>
      <c r="C146" t="s">
        <v>2561</v>
      </c>
      <c r="D146" s="1">
        <v>46134</v>
      </c>
      <c r="E146" s="1">
        <v>46179</v>
      </c>
      <c r="F146">
        <v>324887.95</v>
      </c>
      <c r="G146" t="s">
        <v>2562</v>
      </c>
      <c r="H146">
        <v>324887.95</v>
      </c>
      <c r="I146">
        <v>0</v>
      </c>
      <c r="J146">
        <v>86</v>
      </c>
      <c r="K146" t="s">
        <v>2558</v>
      </c>
    </row>
    <row r="147" spans="1:11">
      <c r="A147" t="s">
        <v>2555</v>
      </c>
      <c r="B147" t="s">
        <v>718</v>
      </c>
      <c r="C147" t="s">
        <v>2588</v>
      </c>
      <c r="D147" s="1">
        <v>46122</v>
      </c>
      <c r="E147" s="1">
        <v>46152</v>
      </c>
      <c r="F147">
        <v>17644.830000000002</v>
      </c>
      <c r="G147" t="s">
        <v>2562</v>
      </c>
      <c r="H147">
        <v>17644.830000000002</v>
      </c>
      <c r="I147">
        <v>0</v>
      </c>
      <c r="J147">
        <v>113</v>
      </c>
      <c r="K147" t="s">
        <v>2558</v>
      </c>
    </row>
    <row r="148" spans="1:11">
      <c r="A148" t="s">
        <v>2555</v>
      </c>
      <c r="B148" t="s">
        <v>212</v>
      </c>
      <c r="C148" t="s">
        <v>2590</v>
      </c>
      <c r="D148" s="1">
        <v>46138</v>
      </c>
      <c r="E148" s="1">
        <v>46168</v>
      </c>
      <c r="F148">
        <v>40307.75</v>
      </c>
      <c r="G148" t="s">
        <v>2562</v>
      </c>
      <c r="H148">
        <v>40307.75</v>
      </c>
      <c r="I148">
        <v>0</v>
      </c>
      <c r="J148">
        <v>97</v>
      </c>
      <c r="K148" t="s">
        <v>2558</v>
      </c>
    </row>
    <row r="149" spans="1:11">
      <c r="A149" t="s">
        <v>2555</v>
      </c>
      <c r="B149" t="s">
        <v>303</v>
      </c>
      <c r="C149" t="s">
        <v>2561</v>
      </c>
      <c r="D149" s="1">
        <v>46122</v>
      </c>
      <c r="E149" s="1">
        <v>46167</v>
      </c>
      <c r="F149">
        <v>378331.17</v>
      </c>
      <c r="G149" t="s">
        <v>2562</v>
      </c>
      <c r="H149">
        <v>378331.17</v>
      </c>
      <c r="I149">
        <v>0</v>
      </c>
      <c r="J149">
        <v>98</v>
      </c>
      <c r="K149" t="s">
        <v>2558</v>
      </c>
    </row>
    <row r="150" spans="1:11">
      <c r="A150" t="s">
        <v>2555</v>
      </c>
      <c r="B150" t="s">
        <v>216</v>
      </c>
      <c r="C150" t="s">
        <v>2612</v>
      </c>
      <c r="D150" s="1">
        <v>46125</v>
      </c>
      <c r="E150" s="1">
        <v>46155</v>
      </c>
      <c r="F150">
        <v>21000.97</v>
      </c>
      <c r="G150" t="s">
        <v>2566</v>
      </c>
      <c r="H150">
        <v>21000.97</v>
      </c>
      <c r="I150">
        <v>0</v>
      </c>
      <c r="J150">
        <v>110</v>
      </c>
      <c r="K150" t="s">
        <v>2558</v>
      </c>
    </row>
    <row r="151" spans="1:11">
      <c r="A151" t="s">
        <v>2555</v>
      </c>
      <c r="B151" t="s">
        <v>218</v>
      </c>
      <c r="C151" t="s">
        <v>2588</v>
      </c>
      <c r="D151" s="1">
        <v>46134</v>
      </c>
      <c r="E151" s="1">
        <v>46164</v>
      </c>
      <c r="F151">
        <v>128674.48</v>
      </c>
      <c r="G151" t="s">
        <v>2562</v>
      </c>
      <c r="H151">
        <v>128674.48</v>
      </c>
      <c r="I151">
        <v>0</v>
      </c>
      <c r="J151">
        <v>101</v>
      </c>
      <c r="K151" t="s">
        <v>2558</v>
      </c>
    </row>
    <row r="152" spans="1:11">
      <c r="A152" t="s">
        <v>2555</v>
      </c>
      <c r="B152" t="s">
        <v>220</v>
      </c>
      <c r="C152" t="s">
        <v>2582</v>
      </c>
      <c r="D152" s="1">
        <v>46142</v>
      </c>
      <c r="E152" s="1">
        <v>46172</v>
      </c>
      <c r="F152">
        <v>83060.350000000006</v>
      </c>
      <c r="G152" t="s">
        <v>2557</v>
      </c>
      <c r="H152">
        <v>83060.350000000006</v>
      </c>
      <c r="I152">
        <v>0</v>
      </c>
      <c r="J152">
        <v>93</v>
      </c>
      <c r="K152" t="s">
        <v>2558</v>
      </c>
    </row>
    <row r="153" spans="1:11">
      <c r="A153" t="s">
        <v>2555</v>
      </c>
      <c r="B153" t="s">
        <v>2618</v>
      </c>
      <c r="C153" t="s">
        <v>2570</v>
      </c>
      <c r="D153" s="1">
        <v>46123</v>
      </c>
      <c r="E153" s="1">
        <v>46153</v>
      </c>
      <c r="F153">
        <v>460727.86</v>
      </c>
      <c r="G153" t="s">
        <v>2557</v>
      </c>
      <c r="I153">
        <v>460727.86</v>
      </c>
      <c r="J153">
        <v>112</v>
      </c>
      <c r="K153" t="s">
        <v>2563</v>
      </c>
    </row>
    <row r="154" spans="1:11">
      <c r="A154" t="s">
        <v>2614</v>
      </c>
      <c r="B154" t="s">
        <v>222</v>
      </c>
      <c r="C154" t="s">
        <v>2561</v>
      </c>
      <c r="D154" s="1">
        <v>46143</v>
      </c>
      <c r="E154" s="1">
        <v>46188</v>
      </c>
      <c r="F154">
        <v>1904412.04</v>
      </c>
      <c r="G154" t="s">
        <v>2562</v>
      </c>
      <c r="H154">
        <v>1904412.04</v>
      </c>
      <c r="I154">
        <v>0</v>
      </c>
      <c r="J154">
        <v>77</v>
      </c>
      <c r="K154" t="s">
        <v>2558</v>
      </c>
    </row>
    <row r="155" spans="1:11">
      <c r="A155" t="s">
        <v>2555</v>
      </c>
      <c r="B155" t="s">
        <v>284</v>
      </c>
      <c r="C155" t="s">
        <v>2588</v>
      </c>
      <c r="D155" s="1">
        <v>46123</v>
      </c>
      <c r="E155" s="1">
        <v>46153</v>
      </c>
      <c r="F155">
        <v>87034.05</v>
      </c>
      <c r="G155" t="s">
        <v>2562</v>
      </c>
      <c r="H155">
        <v>87034.05</v>
      </c>
      <c r="I155">
        <v>0</v>
      </c>
      <c r="J155">
        <v>112</v>
      </c>
      <c r="K155" t="s">
        <v>2558</v>
      </c>
    </row>
    <row r="156" spans="1:11">
      <c r="A156" t="s">
        <v>2614</v>
      </c>
      <c r="B156" t="s">
        <v>224</v>
      </c>
      <c r="C156" t="s">
        <v>2619</v>
      </c>
      <c r="D156" s="1">
        <v>46149</v>
      </c>
      <c r="E156" s="1">
        <v>46179</v>
      </c>
      <c r="F156">
        <v>70480.97</v>
      </c>
      <c r="G156" t="s">
        <v>2560</v>
      </c>
      <c r="H156">
        <v>70480.97</v>
      </c>
      <c r="I156">
        <v>0</v>
      </c>
      <c r="J156">
        <v>86</v>
      </c>
      <c r="K156" t="s">
        <v>2558</v>
      </c>
    </row>
    <row r="157" spans="1:11">
      <c r="A157" t="s">
        <v>2555</v>
      </c>
      <c r="B157" t="s">
        <v>228</v>
      </c>
      <c r="C157" t="s">
        <v>2579</v>
      </c>
      <c r="D157" s="1">
        <v>46126</v>
      </c>
      <c r="E157" s="1">
        <v>46156</v>
      </c>
      <c r="F157">
        <v>116804.72</v>
      </c>
      <c r="G157" t="s">
        <v>2557</v>
      </c>
      <c r="H157">
        <v>116804.72</v>
      </c>
      <c r="I157">
        <v>0</v>
      </c>
      <c r="J157">
        <v>109</v>
      </c>
      <c r="K157" t="s">
        <v>2558</v>
      </c>
    </row>
    <row r="158" spans="1:11">
      <c r="A158" t="s">
        <v>2555</v>
      </c>
      <c r="B158" t="s">
        <v>230</v>
      </c>
      <c r="C158" t="s">
        <v>2588</v>
      </c>
      <c r="D158" s="1">
        <v>46128</v>
      </c>
      <c r="E158" s="1">
        <v>46158</v>
      </c>
      <c r="F158">
        <v>547398.78</v>
      </c>
      <c r="G158" t="s">
        <v>2562</v>
      </c>
      <c r="H158">
        <v>547398.78</v>
      </c>
      <c r="I158">
        <v>0</v>
      </c>
      <c r="J158">
        <v>107</v>
      </c>
      <c r="K158" t="s">
        <v>2558</v>
      </c>
    </row>
    <row r="159" spans="1:11">
      <c r="A159" t="s">
        <v>2555</v>
      </c>
      <c r="B159" t="s">
        <v>232</v>
      </c>
      <c r="C159" t="s">
        <v>2603</v>
      </c>
      <c r="D159" s="1">
        <v>46128</v>
      </c>
      <c r="E159" s="1">
        <v>46158</v>
      </c>
      <c r="F159">
        <v>37120.480000000003</v>
      </c>
      <c r="G159" t="s">
        <v>2557</v>
      </c>
      <c r="H159">
        <v>37120.480000000003</v>
      </c>
      <c r="I159">
        <v>0</v>
      </c>
      <c r="J159">
        <v>107</v>
      </c>
      <c r="K159" t="s">
        <v>2558</v>
      </c>
    </row>
    <row r="160" spans="1:11">
      <c r="A160" t="s">
        <v>2555</v>
      </c>
      <c r="B160" t="s">
        <v>483</v>
      </c>
      <c r="C160" t="s">
        <v>2579</v>
      </c>
      <c r="D160" s="1">
        <v>46124</v>
      </c>
      <c r="E160" s="1">
        <v>46154</v>
      </c>
      <c r="F160">
        <v>223696.11</v>
      </c>
      <c r="G160" t="s">
        <v>2557</v>
      </c>
      <c r="H160">
        <v>223696.11</v>
      </c>
      <c r="I160">
        <v>0</v>
      </c>
      <c r="J160">
        <v>111</v>
      </c>
      <c r="K160" t="s">
        <v>2558</v>
      </c>
    </row>
    <row r="161" spans="1:11">
      <c r="A161" t="s">
        <v>2555</v>
      </c>
      <c r="B161" t="s">
        <v>234</v>
      </c>
      <c r="C161" t="s">
        <v>2588</v>
      </c>
      <c r="D161" s="1">
        <v>46132</v>
      </c>
      <c r="E161" s="1">
        <v>46162</v>
      </c>
      <c r="F161">
        <v>117527.87</v>
      </c>
      <c r="G161" t="s">
        <v>2562</v>
      </c>
      <c r="H161">
        <v>117527.87</v>
      </c>
      <c r="I161">
        <v>0</v>
      </c>
      <c r="J161">
        <v>103</v>
      </c>
      <c r="K161" t="s">
        <v>2558</v>
      </c>
    </row>
    <row r="162" spans="1:11">
      <c r="A162" t="s">
        <v>2555</v>
      </c>
      <c r="B162" t="s">
        <v>236</v>
      </c>
      <c r="C162" t="s">
        <v>2593</v>
      </c>
      <c r="D162" s="1">
        <v>46141</v>
      </c>
      <c r="E162" s="1">
        <v>46171</v>
      </c>
      <c r="F162">
        <v>51716.74</v>
      </c>
      <c r="G162" t="s">
        <v>2574</v>
      </c>
      <c r="H162">
        <v>51716.74</v>
      </c>
      <c r="I162">
        <v>0</v>
      </c>
      <c r="J162">
        <v>94</v>
      </c>
      <c r="K162" t="s">
        <v>2558</v>
      </c>
    </row>
    <row r="163" spans="1:11">
      <c r="A163" t="s">
        <v>2555</v>
      </c>
      <c r="B163" t="s">
        <v>1620</v>
      </c>
      <c r="C163" t="s">
        <v>2583</v>
      </c>
      <c r="D163" s="1">
        <v>46124</v>
      </c>
      <c r="E163" s="1">
        <v>46184</v>
      </c>
      <c r="F163">
        <v>266446.57</v>
      </c>
      <c r="G163" t="s">
        <v>2562</v>
      </c>
      <c r="H163">
        <v>266446.57</v>
      </c>
      <c r="I163">
        <v>0</v>
      </c>
      <c r="J163">
        <v>81</v>
      </c>
      <c r="K163" t="s">
        <v>2558</v>
      </c>
    </row>
    <row r="164" spans="1:11">
      <c r="A164" t="s">
        <v>2614</v>
      </c>
      <c r="B164" t="s">
        <v>238</v>
      </c>
      <c r="C164" t="s">
        <v>2565</v>
      </c>
      <c r="D164" s="1">
        <v>46146</v>
      </c>
      <c r="E164" s="1">
        <v>46161</v>
      </c>
      <c r="F164">
        <v>18592.61</v>
      </c>
      <c r="G164" t="s">
        <v>2566</v>
      </c>
      <c r="H164">
        <v>18592.61</v>
      </c>
      <c r="I164">
        <v>0</v>
      </c>
      <c r="J164">
        <v>104</v>
      </c>
      <c r="K164" t="s">
        <v>2558</v>
      </c>
    </row>
    <row r="165" spans="1:11">
      <c r="A165" t="s">
        <v>2555</v>
      </c>
      <c r="B165" t="s">
        <v>1160</v>
      </c>
      <c r="C165" t="s">
        <v>2570</v>
      </c>
      <c r="D165" s="1">
        <v>46125</v>
      </c>
      <c r="E165" s="1">
        <v>46155</v>
      </c>
      <c r="F165">
        <v>153410.76</v>
      </c>
      <c r="G165" t="s">
        <v>2557</v>
      </c>
      <c r="H165">
        <v>153410.76</v>
      </c>
      <c r="I165">
        <v>0</v>
      </c>
      <c r="J165">
        <v>110</v>
      </c>
      <c r="K165" t="s">
        <v>2558</v>
      </c>
    </row>
    <row r="166" spans="1:11">
      <c r="A166" t="s">
        <v>2555</v>
      </c>
      <c r="B166" t="s">
        <v>242</v>
      </c>
      <c r="C166" t="s">
        <v>2579</v>
      </c>
      <c r="D166" s="1">
        <v>46126</v>
      </c>
      <c r="E166" s="1">
        <v>46156</v>
      </c>
      <c r="F166">
        <v>1538533.69</v>
      </c>
      <c r="G166" t="s">
        <v>2557</v>
      </c>
      <c r="H166">
        <v>1198871.19</v>
      </c>
      <c r="I166">
        <v>339662.5</v>
      </c>
      <c r="J166">
        <v>109</v>
      </c>
      <c r="K166" t="s">
        <v>2563</v>
      </c>
    </row>
    <row r="167" spans="1:11">
      <c r="A167" t="s">
        <v>2555</v>
      </c>
      <c r="B167" t="s">
        <v>244</v>
      </c>
      <c r="C167" t="s">
        <v>2590</v>
      </c>
      <c r="D167" s="1">
        <v>46130</v>
      </c>
      <c r="E167" s="1">
        <v>46160</v>
      </c>
      <c r="F167">
        <v>68103.94</v>
      </c>
      <c r="G167" t="s">
        <v>2562</v>
      </c>
      <c r="H167">
        <v>68103.94</v>
      </c>
      <c r="I167">
        <v>0</v>
      </c>
      <c r="J167">
        <v>105</v>
      </c>
      <c r="K167" t="s">
        <v>2558</v>
      </c>
    </row>
    <row r="168" spans="1:11">
      <c r="A168" t="s">
        <v>2555</v>
      </c>
      <c r="B168" t="s">
        <v>1324</v>
      </c>
      <c r="C168" t="s">
        <v>2583</v>
      </c>
      <c r="D168" s="1">
        <v>46125</v>
      </c>
      <c r="E168" s="1">
        <v>46185</v>
      </c>
      <c r="F168">
        <v>154234.17000000001</v>
      </c>
      <c r="G168" t="s">
        <v>2562</v>
      </c>
      <c r="H168">
        <v>154234.16999999998</v>
      </c>
      <c r="I168">
        <v>0</v>
      </c>
      <c r="J168">
        <v>80</v>
      </c>
      <c r="K168" t="s">
        <v>2558</v>
      </c>
    </row>
    <row r="169" spans="1:11">
      <c r="A169" t="s">
        <v>2555</v>
      </c>
      <c r="B169" t="s">
        <v>246</v>
      </c>
      <c r="C169" t="s">
        <v>2597</v>
      </c>
      <c r="D169" s="1">
        <v>46131</v>
      </c>
      <c r="E169" s="1">
        <v>46176</v>
      </c>
      <c r="F169">
        <v>108153.53</v>
      </c>
      <c r="G169" t="s">
        <v>2574</v>
      </c>
      <c r="H169">
        <v>108153.53</v>
      </c>
      <c r="I169">
        <v>0</v>
      </c>
      <c r="J169">
        <v>89</v>
      </c>
      <c r="K169" t="s">
        <v>2558</v>
      </c>
    </row>
    <row r="170" spans="1:11">
      <c r="A170" t="s">
        <v>2555</v>
      </c>
      <c r="B170" t="s">
        <v>250</v>
      </c>
      <c r="C170" t="s">
        <v>2606</v>
      </c>
      <c r="D170" s="1">
        <v>46140</v>
      </c>
      <c r="E170" s="1">
        <v>46155</v>
      </c>
      <c r="F170">
        <v>10899.84</v>
      </c>
      <c r="G170" t="s">
        <v>2562</v>
      </c>
      <c r="H170">
        <v>10899.84</v>
      </c>
      <c r="I170">
        <v>0</v>
      </c>
      <c r="J170">
        <v>110</v>
      </c>
      <c r="K170" t="s">
        <v>2558</v>
      </c>
    </row>
    <row r="171" spans="1:11">
      <c r="A171" t="s">
        <v>2555</v>
      </c>
      <c r="B171" t="s">
        <v>252</v>
      </c>
      <c r="C171" t="s">
        <v>2580</v>
      </c>
      <c r="D171" s="1">
        <v>46141</v>
      </c>
      <c r="E171" s="1">
        <v>46156</v>
      </c>
      <c r="F171">
        <v>11243.13</v>
      </c>
      <c r="G171" t="s">
        <v>2557</v>
      </c>
      <c r="H171">
        <v>11243.13</v>
      </c>
      <c r="I171">
        <v>0</v>
      </c>
      <c r="J171">
        <v>109</v>
      </c>
      <c r="K171" t="s">
        <v>2558</v>
      </c>
    </row>
    <row r="172" spans="1:11">
      <c r="A172" t="s">
        <v>2555</v>
      </c>
      <c r="B172" t="s">
        <v>254</v>
      </c>
      <c r="C172" t="s">
        <v>2570</v>
      </c>
      <c r="D172" s="1">
        <v>46141</v>
      </c>
      <c r="E172" s="1">
        <v>46171</v>
      </c>
      <c r="F172">
        <v>1337930.3</v>
      </c>
      <c r="G172" t="s">
        <v>2557</v>
      </c>
      <c r="H172">
        <v>1337930.3</v>
      </c>
      <c r="I172">
        <v>0</v>
      </c>
      <c r="J172">
        <v>94</v>
      </c>
      <c r="K172" t="s">
        <v>2558</v>
      </c>
    </row>
    <row r="173" spans="1:11">
      <c r="A173" t="s">
        <v>2555</v>
      </c>
      <c r="B173" t="s">
        <v>256</v>
      </c>
      <c r="C173" t="s">
        <v>2564</v>
      </c>
      <c r="D173" s="1">
        <v>46142</v>
      </c>
      <c r="E173" s="1">
        <v>46202</v>
      </c>
      <c r="F173">
        <v>646604.36</v>
      </c>
      <c r="G173" t="s">
        <v>2562</v>
      </c>
      <c r="H173">
        <v>646604.36</v>
      </c>
      <c r="I173">
        <v>0</v>
      </c>
      <c r="J173">
        <v>63</v>
      </c>
      <c r="K173" t="s">
        <v>2558</v>
      </c>
    </row>
    <row r="174" spans="1:11">
      <c r="A174" t="s">
        <v>2555</v>
      </c>
      <c r="B174" t="s">
        <v>1006</v>
      </c>
      <c r="C174" t="s">
        <v>2576</v>
      </c>
      <c r="D174" s="1">
        <v>46125</v>
      </c>
      <c r="E174" s="1">
        <v>46170</v>
      </c>
      <c r="F174">
        <v>153289.35</v>
      </c>
      <c r="G174" t="s">
        <v>2566</v>
      </c>
      <c r="H174">
        <v>153289.35</v>
      </c>
      <c r="I174">
        <v>0</v>
      </c>
      <c r="J174">
        <v>95</v>
      </c>
      <c r="K174" t="s">
        <v>2558</v>
      </c>
    </row>
    <row r="175" spans="1:11">
      <c r="A175" t="s">
        <v>2614</v>
      </c>
      <c r="B175" t="s">
        <v>258</v>
      </c>
      <c r="C175" t="s">
        <v>2572</v>
      </c>
      <c r="D175" s="1">
        <v>46144</v>
      </c>
      <c r="E175" s="1">
        <v>46159</v>
      </c>
      <c r="F175">
        <v>36047.69</v>
      </c>
      <c r="G175" t="s">
        <v>2557</v>
      </c>
      <c r="H175">
        <v>36047.69</v>
      </c>
      <c r="I175">
        <v>0</v>
      </c>
      <c r="J175">
        <v>106</v>
      </c>
      <c r="K175" t="s">
        <v>2558</v>
      </c>
    </row>
    <row r="176" spans="1:11">
      <c r="A176" t="s">
        <v>2614</v>
      </c>
      <c r="B176" t="s">
        <v>260</v>
      </c>
      <c r="C176" t="s">
        <v>2582</v>
      </c>
      <c r="D176" s="1">
        <v>46149</v>
      </c>
      <c r="E176" s="1">
        <v>46179</v>
      </c>
      <c r="F176">
        <v>88895.679999999993</v>
      </c>
      <c r="G176" t="s">
        <v>2557</v>
      </c>
      <c r="H176">
        <v>88895.679999999993</v>
      </c>
      <c r="I176">
        <v>0</v>
      </c>
      <c r="J176">
        <v>86</v>
      </c>
      <c r="K176" t="s">
        <v>2558</v>
      </c>
    </row>
    <row r="177" spans="1:11">
      <c r="A177" t="s">
        <v>2555</v>
      </c>
      <c r="B177" t="s">
        <v>262</v>
      </c>
      <c r="C177" t="s">
        <v>2561</v>
      </c>
      <c r="D177" s="1">
        <v>46128</v>
      </c>
      <c r="E177" s="1">
        <v>46173</v>
      </c>
      <c r="F177">
        <v>329140.92</v>
      </c>
      <c r="G177" t="s">
        <v>2562</v>
      </c>
      <c r="H177">
        <v>329140.92</v>
      </c>
      <c r="I177">
        <v>0</v>
      </c>
      <c r="J177">
        <v>92</v>
      </c>
      <c r="K177" t="s">
        <v>2558</v>
      </c>
    </row>
    <row r="178" spans="1:11">
      <c r="A178" t="s">
        <v>2555</v>
      </c>
      <c r="B178" t="s">
        <v>720</v>
      </c>
      <c r="C178" t="s">
        <v>2613</v>
      </c>
      <c r="D178" s="1">
        <v>46126</v>
      </c>
      <c r="E178" s="1">
        <v>46186</v>
      </c>
      <c r="F178">
        <v>115327.66</v>
      </c>
      <c r="G178" t="s">
        <v>2560</v>
      </c>
      <c r="H178">
        <v>92003.41</v>
      </c>
      <c r="I178">
        <v>23324.25</v>
      </c>
      <c r="J178">
        <v>79</v>
      </c>
      <c r="K178" t="s">
        <v>2609</v>
      </c>
    </row>
    <row r="179" spans="1:11">
      <c r="A179" t="s">
        <v>2555</v>
      </c>
      <c r="B179" t="s">
        <v>264</v>
      </c>
      <c r="C179" t="s">
        <v>2579</v>
      </c>
      <c r="D179" s="1">
        <v>46132</v>
      </c>
      <c r="E179" s="1">
        <v>46162</v>
      </c>
      <c r="F179">
        <v>269606.73</v>
      </c>
      <c r="G179" t="s">
        <v>2557</v>
      </c>
      <c r="H179">
        <v>269606.73</v>
      </c>
      <c r="I179">
        <v>0</v>
      </c>
      <c r="J179">
        <v>103</v>
      </c>
      <c r="K179" t="s">
        <v>2558</v>
      </c>
    </row>
    <row r="180" spans="1:11">
      <c r="A180" t="s">
        <v>2555</v>
      </c>
      <c r="B180" t="s">
        <v>266</v>
      </c>
      <c r="C180" t="s">
        <v>2594</v>
      </c>
      <c r="D180" s="1">
        <v>46135</v>
      </c>
      <c r="E180" s="1">
        <v>46165</v>
      </c>
      <c r="F180">
        <v>368608.07</v>
      </c>
      <c r="G180" t="s">
        <v>2557</v>
      </c>
      <c r="H180">
        <v>368608.07</v>
      </c>
      <c r="I180">
        <v>0</v>
      </c>
      <c r="J180">
        <v>100</v>
      </c>
      <c r="K180" t="s">
        <v>2558</v>
      </c>
    </row>
    <row r="181" spans="1:11">
      <c r="A181" t="s">
        <v>2555</v>
      </c>
      <c r="B181" t="s">
        <v>271</v>
      </c>
      <c r="C181" t="s">
        <v>2559</v>
      </c>
      <c r="D181" s="1">
        <v>46140</v>
      </c>
      <c r="E181" s="1">
        <v>46155</v>
      </c>
      <c r="F181">
        <v>9963.56</v>
      </c>
      <c r="G181" t="s">
        <v>2560</v>
      </c>
      <c r="H181">
        <v>9963.56</v>
      </c>
      <c r="I181">
        <v>0</v>
      </c>
      <c r="J181">
        <v>110</v>
      </c>
      <c r="K181" t="s">
        <v>2558</v>
      </c>
    </row>
    <row r="182" spans="1:11">
      <c r="A182" t="s">
        <v>2555</v>
      </c>
      <c r="B182" t="s">
        <v>1067</v>
      </c>
      <c r="C182" t="s">
        <v>2567</v>
      </c>
      <c r="D182" s="1">
        <v>46126</v>
      </c>
      <c r="E182" s="1">
        <v>46171</v>
      </c>
      <c r="F182">
        <v>102690.68</v>
      </c>
      <c r="G182" t="s">
        <v>2568</v>
      </c>
      <c r="H182">
        <v>102690.68</v>
      </c>
      <c r="I182">
        <v>0</v>
      </c>
      <c r="J182">
        <v>94</v>
      </c>
      <c r="K182" t="s">
        <v>2558</v>
      </c>
    </row>
    <row r="183" spans="1:11">
      <c r="A183" t="s">
        <v>2555</v>
      </c>
      <c r="B183" t="s">
        <v>276</v>
      </c>
      <c r="C183" t="s">
        <v>2573</v>
      </c>
      <c r="D183" s="1">
        <v>46127</v>
      </c>
      <c r="E183" s="1">
        <v>46157</v>
      </c>
      <c r="F183">
        <v>22684.92</v>
      </c>
      <c r="G183" t="s">
        <v>2574</v>
      </c>
      <c r="H183">
        <v>22684.92</v>
      </c>
      <c r="I183">
        <v>0</v>
      </c>
      <c r="J183">
        <v>108</v>
      </c>
      <c r="K183" t="s">
        <v>2558</v>
      </c>
    </row>
    <row r="184" spans="1:11">
      <c r="A184" t="s">
        <v>2555</v>
      </c>
      <c r="B184" t="s">
        <v>1140</v>
      </c>
      <c r="C184" t="s">
        <v>2556</v>
      </c>
      <c r="D184" s="1">
        <v>46126</v>
      </c>
      <c r="E184" s="1">
        <v>46156</v>
      </c>
      <c r="F184">
        <v>161417.26</v>
      </c>
      <c r="G184" t="s">
        <v>2557</v>
      </c>
      <c r="H184">
        <v>161417.26</v>
      </c>
      <c r="I184">
        <v>0</v>
      </c>
      <c r="J184">
        <v>109</v>
      </c>
      <c r="K184" t="s">
        <v>2558</v>
      </c>
    </row>
    <row r="185" spans="1:11">
      <c r="A185" t="s">
        <v>2555</v>
      </c>
      <c r="B185" t="s">
        <v>278</v>
      </c>
      <c r="C185" t="s">
        <v>2581</v>
      </c>
      <c r="D185" s="1">
        <v>46140</v>
      </c>
      <c r="E185" s="1">
        <v>46155</v>
      </c>
      <c r="F185">
        <v>12806.86</v>
      </c>
      <c r="G185" t="s">
        <v>2562</v>
      </c>
      <c r="H185">
        <v>12806.86</v>
      </c>
      <c r="I185">
        <v>0</v>
      </c>
      <c r="J185">
        <v>110</v>
      </c>
      <c r="K185" t="s">
        <v>2558</v>
      </c>
    </row>
    <row r="186" spans="1:11">
      <c r="A186" t="s">
        <v>2555</v>
      </c>
      <c r="B186" t="s">
        <v>650</v>
      </c>
      <c r="C186" t="s">
        <v>2595</v>
      </c>
      <c r="D186" s="1">
        <v>46126</v>
      </c>
      <c r="E186" s="1">
        <v>46156</v>
      </c>
      <c r="F186">
        <v>206904.17</v>
      </c>
      <c r="G186" t="s">
        <v>2568</v>
      </c>
      <c r="H186">
        <v>206904.17</v>
      </c>
      <c r="I186">
        <v>0</v>
      </c>
      <c r="J186">
        <v>109</v>
      </c>
      <c r="K186" t="s">
        <v>2558</v>
      </c>
    </row>
    <row r="187" spans="1:11">
      <c r="A187" t="s">
        <v>2614</v>
      </c>
      <c r="B187" t="s">
        <v>280</v>
      </c>
      <c r="C187" t="s">
        <v>2581</v>
      </c>
      <c r="D187" s="1">
        <v>46147</v>
      </c>
      <c r="E187" s="1">
        <v>46162</v>
      </c>
      <c r="F187">
        <v>40718.44</v>
      </c>
      <c r="G187" t="s">
        <v>2562</v>
      </c>
      <c r="H187">
        <v>40718.44</v>
      </c>
      <c r="I187">
        <v>0</v>
      </c>
      <c r="J187">
        <v>103</v>
      </c>
      <c r="K187" t="s">
        <v>2558</v>
      </c>
    </row>
    <row r="188" spans="1:11">
      <c r="A188" t="s">
        <v>2555</v>
      </c>
      <c r="B188" t="s">
        <v>1041</v>
      </c>
      <c r="C188" t="s">
        <v>2611</v>
      </c>
      <c r="D188" s="1">
        <v>46127</v>
      </c>
      <c r="E188" s="1">
        <v>46172</v>
      </c>
      <c r="F188">
        <v>328379.65000000002</v>
      </c>
      <c r="G188" t="s">
        <v>2566</v>
      </c>
      <c r="H188">
        <v>248493.06</v>
      </c>
      <c r="I188">
        <v>79886.59</v>
      </c>
      <c r="J188">
        <v>93</v>
      </c>
      <c r="K188" t="s">
        <v>2563</v>
      </c>
    </row>
    <row r="189" spans="1:11">
      <c r="A189" t="s">
        <v>2555</v>
      </c>
      <c r="B189" t="s">
        <v>286</v>
      </c>
      <c r="C189" t="s">
        <v>2585</v>
      </c>
      <c r="D189" s="1">
        <v>46128</v>
      </c>
      <c r="E189" s="1">
        <v>46158</v>
      </c>
      <c r="F189">
        <v>315175.57</v>
      </c>
      <c r="G189" t="s">
        <v>2562</v>
      </c>
      <c r="H189">
        <v>315175.57</v>
      </c>
      <c r="I189">
        <v>0</v>
      </c>
      <c r="J189">
        <v>107</v>
      </c>
      <c r="K189" t="s">
        <v>2558</v>
      </c>
    </row>
    <row r="190" spans="1:11">
      <c r="A190" t="s">
        <v>2555</v>
      </c>
      <c r="B190" t="s">
        <v>436</v>
      </c>
      <c r="C190" t="s">
        <v>2571</v>
      </c>
      <c r="D190" s="1">
        <v>46127</v>
      </c>
      <c r="E190" s="1">
        <v>46172</v>
      </c>
      <c r="F190">
        <v>1512499.6</v>
      </c>
      <c r="G190" t="s">
        <v>2568</v>
      </c>
      <c r="H190">
        <v>1128611.0499999998</v>
      </c>
      <c r="I190">
        <v>383888.55</v>
      </c>
      <c r="J190">
        <v>93</v>
      </c>
      <c r="K190" t="s">
        <v>2563</v>
      </c>
    </row>
    <row r="191" spans="1:11">
      <c r="A191" t="s">
        <v>2555</v>
      </c>
      <c r="B191" t="s">
        <v>288</v>
      </c>
      <c r="C191" t="s">
        <v>2576</v>
      </c>
      <c r="D191" s="1">
        <v>46132</v>
      </c>
      <c r="E191" s="1">
        <v>46177</v>
      </c>
      <c r="F191">
        <v>186391.37</v>
      </c>
      <c r="G191" t="s">
        <v>2566</v>
      </c>
      <c r="H191">
        <v>186391.37</v>
      </c>
      <c r="I191">
        <v>0</v>
      </c>
      <c r="J191">
        <v>88</v>
      </c>
      <c r="K191" t="s">
        <v>2558</v>
      </c>
    </row>
    <row r="192" spans="1:11">
      <c r="A192" t="s">
        <v>2555</v>
      </c>
      <c r="B192" t="s">
        <v>290</v>
      </c>
      <c r="C192" t="s">
        <v>2565</v>
      </c>
      <c r="D192" s="1">
        <v>46142</v>
      </c>
      <c r="E192" s="1">
        <v>46157</v>
      </c>
      <c r="F192">
        <v>59932.95</v>
      </c>
      <c r="G192" t="s">
        <v>2566</v>
      </c>
      <c r="H192">
        <v>59932.95</v>
      </c>
      <c r="I192">
        <v>0</v>
      </c>
      <c r="J192">
        <v>108</v>
      </c>
      <c r="K192" t="s">
        <v>2558</v>
      </c>
    </row>
    <row r="193" spans="1:11">
      <c r="A193" t="s">
        <v>2614</v>
      </c>
      <c r="B193" t="s">
        <v>292</v>
      </c>
      <c r="C193" t="s">
        <v>2620</v>
      </c>
      <c r="D193" s="1">
        <v>46145</v>
      </c>
      <c r="E193" s="1">
        <v>46175</v>
      </c>
      <c r="F193">
        <v>67544.47</v>
      </c>
      <c r="G193" t="s">
        <v>2568</v>
      </c>
      <c r="H193">
        <v>67544.47</v>
      </c>
      <c r="I193">
        <v>0</v>
      </c>
      <c r="J193">
        <v>90</v>
      </c>
      <c r="K193" t="s">
        <v>2558</v>
      </c>
    </row>
    <row r="194" spans="1:11">
      <c r="A194" t="s">
        <v>2555</v>
      </c>
      <c r="B194" t="s">
        <v>305</v>
      </c>
      <c r="C194" t="s">
        <v>2599</v>
      </c>
      <c r="D194" s="1">
        <v>46127</v>
      </c>
      <c r="E194" s="1">
        <v>46187</v>
      </c>
      <c r="F194">
        <v>75905.84</v>
      </c>
      <c r="G194" t="s">
        <v>2562</v>
      </c>
      <c r="H194">
        <v>75905.84</v>
      </c>
      <c r="I194">
        <v>0</v>
      </c>
      <c r="J194">
        <v>78</v>
      </c>
      <c r="K194" t="s">
        <v>2558</v>
      </c>
    </row>
    <row r="195" spans="1:11">
      <c r="A195" t="s">
        <v>2614</v>
      </c>
      <c r="B195" t="s">
        <v>294</v>
      </c>
      <c r="C195" t="s">
        <v>2565</v>
      </c>
      <c r="D195" s="1">
        <v>46146</v>
      </c>
      <c r="E195" s="1">
        <v>46161</v>
      </c>
      <c r="F195">
        <v>10527.95</v>
      </c>
      <c r="G195" t="s">
        <v>2566</v>
      </c>
      <c r="H195">
        <v>10527.95</v>
      </c>
      <c r="I195">
        <v>0</v>
      </c>
      <c r="J195">
        <v>104</v>
      </c>
      <c r="K195" t="s">
        <v>2558</v>
      </c>
    </row>
    <row r="196" spans="1:11">
      <c r="A196" t="s">
        <v>2555</v>
      </c>
      <c r="B196" t="s">
        <v>296</v>
      </c>
      <c r="C196" t="s">
        <v>2571</v>
      </c>
      <c r="D196" s="1">
        <v>46130</v>
      </c>
      <c r="E196" s="1">
        <v>46175</v>
      </c>
      <c r="F196">
        <v>451022.4</v>
      </c>
      <c r="G196" t="s">
        <v>2568</v>
      </c>
      <c r="H196">
        <v>451022.4</v>
      </c>
      <c r="I196">
        <v>0</v>
      </c>
      <c r="J196">
        <v>90</v>
      </c>
      <c r="K196" t="s">
        <v>2558</v>
      </c>
    </row>
    <row r="197" spans="1:11">
      <c r="A197" t="s">
        <v>2555</v>
      </c>
      <c r="B197" t="s">
        <v>321</v>
      </c>
      <c r="C197" t="s">
        <v>2590</v>
      </c>
      <c r="D197" s="1">
        <v>46127</v>
      </c>
      <c r="E197" s="1">
        <v>46157</v>
      </c>
      <c r="F197">
        <v>12641.48</v>
      </c>
      <c r="G197" t="s">
        <v>2562</v>
      </c>
      <c r="H197">
        <v>3412.8100000000004</v>
      </c>
      <c r="I197">
        <v>9228.67</v>
      </c>
      <c r="J197">
        <v>108</v>
      </c>
      <c r="K197" t="s">
        <v>2563</v>
      </c>
    </row>
    <row r="198" spans="1:11">
      <c r="A198" t="s">
        <v>2614</v>
      </c>
      <c r="B198" t="s">
        <v>298</v>
      </c>
      <c r="C198" t="s">
        <v>2582</v>
      </c>
      <c r="D198" s="1">
        <v>46144</v>
      </c>
      <c r="E198" s="1">
        <v>46174</v>
      </c>
      <c r="F198">
        <v>169034.79</v>
      </c>
      <c r="G198" t="s">
        <v>2557</v>
      </c>
      <c r="H198">
        <v>169034.79</v>
      </c>
      <c r="I198">
        <v>0</v>
      </c>
      <c r="J198">
        <v>91</v>
      </c>
      <c r="K198" t="s">
        <v>2558</v>
      </c>
    </row>
    <row r="199" spans="1:11">
      <c r="A199" t="s">
        <v>2555</v>
      </c>
      <c r="B199" t="s">
        <v>575</v>
      </c>
      <c r="C199" t="s">
        <v>2579</v>
      </c>
      <c r="D199" s="1">
        <v>46127</v>
      </c>
      <c r="E199" s="1">
        <v>46157</v>
      </c>
      <c r="F199">
        <v>585486.89</v>
      </c>
      <c r="G199" t="s">
        <v>2557</v>
      </c>
      <c r="H199">
        <v>585486.89</v>
      </c>
      <c r="I199">
        <v>0</v>
      </c>
      <c r="J199">
        <v>108</v>
      </c>
      <c r="K199" t="s">
        <v>2558</v>
      </c>
    </row>
    <row r="200" spans="1:11">
      <c r="A200" t="s">
        <v>2614</v>
      </c>
      <c r="B200" t="s">
        <v>301</v>
      </c>
      <c r="C200" t="s">
        <v>2582</v>
      </c>
      <c r="D200" s="1">
        <v>46148</v>
      </c>
      <c r="E200" s="1">
        <v>46178</v>
      </c>
      <c r="F200">
        <v>243325.57</v>
      </c>
      <c r="G200" t="s">
        <v>2557</v>
      </c>
      <c r="H200">
        <v>243325.57</v>
      </c>
      <c r="I200">
        <v>0</v>
      </c>
      <c r="J200">
        <v>87</v>
      </c>
      <c r="K200" t="s">
        <v>2558</v>
      </c>
    </row>
    <row r="201" spans="1:11">
      <c r="A201" t="s">
        <v>2555</v>
      </c>
      <c r="B201" t="s">
        <v>681</v>
      </c>
      <c r="C201" t="s">
        <v>2569</v>
      </c>
      <c r="D201" s="1">
        <v>46128</v>
      </c>
      <c r="E201" s="1">
        <v>46143</v>
      </c>
      <c r="F201">
        <v>32520.14</v>
      </c>
      <c r="G201" t="s">
        <v>2557</v>
      </c>
      <c r="H201">
        <v>32520.14</v>
      </c>
      <c r="I201">
        <v>0</v>
      </c>
      <c r="J201">
        <v>122</v>
      </c>
      <c r="K201" t="s">
        <v>2558</v>
      </c>
    </row>
    <row r="202" spans="1:11">
      <c r="A202" t="s">
        <v>2555</v>
      </c>
      <c r="B202" t="s">
        <v>307</v>
      </c>
      <c r="C202" t="s">
        <v>2608</v>
      </c>
      <c r="D202" s="1">
        <v>46128</v>
      </c>
      <c r="E202" s="1">
        <v>46173</v>
      </c>
      <c r="F202">
        <v>2000000</v>
      </c>
      <c r="G202" t="s">
        <v>2560</v>
      </c>
      <c r="H202">
        <v>2503202.56</v>
      </c>
      <c r="I202">
        <v>-503202.56</v>
      </c>
      <c r="J202">
        <v>92</v>
      </c>
      <c r="K202" t="s">
        <v>2558</v>
      </c>
    </row>
    <row r="203" spans="1:11">
      <c r="A203" t="s">
        <v>2555</v>
      </c>
      <c r="B203" t="s">
        <v>485</v>
      </c>
      <c r="C203" t="s">
        <v>2567</v>
      </c>
      <c r="D203" s="1">
        <v>46128</v>
      </c>
      <c r="E203" s="1">
        <v>46173</v>
      </c>
      <c r="F203">
        <v>131799.94</v>
      </c>
      <c r="G203" t="s">
        <v>2568</v>
      </c>
      <c r="H203">
        <v>131799.94</v>
      </c>
      <c r="I203">
        <v>0</v>
      </c>
      <c r="J203">
        <v>92</v>
      </c>
      <c r="K203" t="s">
        <v>2558</v>
      </c>
    </row>
    <row r="204" spans="1:11">
      <c r="A204" t="s">
        <v>2555</v>
      </c>
      <c r="B204" t="s">
        <v>309</v>
      </c>
      <c r="C204" t="s">
        <v>2620</v>
      </c>
      <c r="D204" s="1">
        <v>46130</v>
      </c>
      <c r="E204" s="1">
        <v>46160</v>
      </c>
      <c r="F204">
        <v>75067.69</v>
      </c>
      <c r="G204" t="s">
        <v>2568</v>
      </c>
      <c r="H204">
        <v>75067.69</v>
      </c>
      <c r="I204">
        <v>0</v>
      </c>
      <c r="J204">
        <v>105</v>
      </c>
      <c r="K204" t="s">
        <v>2558</v>
      </c>
    </row>
    <row r="205" spans="1:11">
      <c r="A205" t="s">
        <v>2555</v>
      </c>
      <c r="B205" t="s">
        <v>1088</v>
      </c>
      <c r="C205" t="s">
        <v>2621</v>
      </c>
      <c r="D205" s="1">
        <v>46128</v>
      </c>
      <c r="E205" s="1">
        <v>46158</v>
      </c>
      <c r="F205">
        <v>112596.92</v>
      </c>
      <c r="G205" t="s">
        <v>2562</v>
      </c>
      <c r="H205">
        <v>112596.92</v>
      </c>
      <c r="I205">
        <v>0</v>
      </c>
      <c r="J205">
        <v>107</v>
      </c>
      <c r="K205" t="s">
        <v>2558</v>
      </c>
    </row>
    <row r="206" spans="1:11">
      <c r="A206" t="s">
        <v>2555</v>
      </c>
      <c r="B206" t="s">
        <v>311</v>
      </c>
      <c r="C206" t="s">
        <v>2573</v>
      </c>
      <c r="D206" s="1">
        <v>46135</v>
      </c>
      <c r="E206" s="1">
        <v>46165</v>
      </c>
      <c r="F206">
        <v>54859.8</v>
      </c>
      <c r="G206" t="s">
        <v>2574</v>
      </c>
      <c r="H206">
        <v>54859.8</v>
      </c>
      <c r="I206">
        <v>0</v>
      </c>
      <c r="J206">
        <v>100</v>
      </c>
      <c r="K206" t="s">
        <v>2558</v>
      </c>
    </row>
    <row r="207" spans="1:11">
      <c r="A207" t="s">
        <v>2555</v>
      </c>
      <c r="B207" t="s">
        <v>313</v>
      </c>
      <c r="C207" t="s">
        <v>2611</v>
      </c>
      <c r="D207" s="1">
        <v>46137</v>
      </c>
      <c r="E207" s="1">
        <v>46182</v>
      </c>
      <c r="F207">
        <v>269015</v>
      </c>
      <c r="G207" t="s">
        <v>2566</v>
      </c>
      <c r="H207">
        <v>269015</v>
      </c>
      <c r="I207">
        <v>0</v>
      </c>
      <c r="J207">
        <v>83</v>
      </c>
      <c r="K207" t="s">
        <v>2558</v>
      </c>
    </row>
    <row r="208" spans="1:11">
      <c r="A208" t="s">
        <v>2555</v>
      </c>
      <c r="B208" t="s">
        <v>373</v>
      </c>
      <c r="C208" t="s">
        <v>2567</v>
      </c>
      <c r="D208" s="1">
        <v>46128</v>
      </c>
      <c r="E208" s="1">
        <v>46173</v>
      </c>
      <c r="F208">
        <v>159642.54</v>
      </c>
      <c r="G208" t="s">
        <v>2568</v>
      </c>
      <c r="H208">
        <v>159642.54</v>
      </c>
      <c r="I208">
        <v>0</v>
      </c>
      <c r="J208">
        <v>92</v>
      </c>
      <c r="K208" t="s">
        <v>2558</v>
      </c>
    </row>
    <row r="209" spans="1:11">
      <c r="A209" t="s">
        <v>2614</v>
      </c>
      <c r="B209" t="s">
        <v>315</v>
      </c>
      <c r="C209" t="s">
        <v>2559</v>
      </c>
      <c r="D209" s="1">
        <v>46144</v>
      </c>
      <c r="E209" s="1">
        <v>46159</v>
      </c>
      <c r="F209">
        <v>156284.29</v>
      </c>
      <c r="G209" t="s">
        <v>2560</v>
      </c>
      <c r="H209">
        <v>156284.29</v>
      </c>
      <c r="I209">
        <v>0</v>
      </c>
      <c r="J209">
        <v>106</v>
      </c>
      <c r="K209" t="s">
        <v>2558</v>
      </c>
    </row>
    <row r="210" spans="1:11">
      <c r="A210" t="s">
        <v>2555</v>
      </c>
      <c r="B210" t="s">
        <v>730</v>
      </c>
      <c r="C210" t="s">
        <v>2595</v>
      </c>
      <c r="D210" s="1">
        <v>46128</v>
      </c>
      <c r="E210" s="1">
        <v>46158</v>
      </c>
      <c r="F210">
        <v>173658.23</v>
      </c>
      <c r="G210" t="s">
        <v>2568</v>
      </c>
      <c r="H210">
        <v>173658.23</v>
      </c>
      <c r="I210">
        <v>0</v>
      </c>
      <c r="J210">
        <v>107</v>
      </c>
      <c r="K210" t="s">
        <v>2558</v>
      </c>
    </row>
    <row r="211" spans="1:11">
      <c r="A211" t="s">
        <v>2614</v>
      </c>
      <c r="B211" t="s">
        <v>317</v>
      </c>
      <c r="C211" t="s">
        <v>2595</v>
      </c>
      <c r="D211" s="1">
        <v>46144</v>
      </c>
      <c r="E211" s="1">
        <v>46174</v>
      </c>
      <c r="F211">
        <v>222711.57</v>
      </c>
      <c r="G211" t="s">
        <v>2568</v>
      </c>
      <c r="H211">
        <v>222711.57</v>
      </c>
      <c r="I211">
        <v>0</v>
      </c>
      <c r="J211">
        <v>91</v>
      </c>
      <c r="K211" t="s">
        <v>2558</v>
      </c>
    </row>
    <row r="212" spans="1:11">
      <c r="A212" t="s">
        <v>2555</v>
      </c>
      <c r="B212" t="s">
        <v>2622</v>
      </c>
      <c r="C212" t="s">
        <v>2589</v>
      </c>
      <c r="D212" s="1">
        <v>46128</v>
      </c>
      <c r="E212" s="1">
        <v>46158</v>
      </c>
      <c r="F212">
        <v>122536.7</v>
      </c>
      <c r="G212" t="s">
        <v>2568</v>
      </c>
      <c r="I212">
        <v>122536.7</v>
      </c>
      <c r="J212">
        <v>107</v>
      </c>
      <c r="K212" t="s">
        <v>2563</v>
      </c>
    </row>
    <row r="213" spans="1:11">
      <c r="A213" t="s">
        <v>2555</v>
      </c>
      <c r="B213" t="s">
        <v>323</v>
      </c>
      <c r="C213" t="s">
        <v>2585</v>
      </c>
      <c r="D213" s="1">
        <v>46131</v>
      </c>
      <c r="E213" s="1">
        <v>46161</v>
      </c>
      <c r="F213">
        <v>418677.52</v>
      </c>
      <c r="G213" t="s">
        <v>2562</v>
      </c>
      <c r="H213">
        <v>418677.52</v>
      </c>
      <c r="I213">
        <v>0</v>
      </c>
      <c r="J213">
        <v>104</v>
      </c>
      <c r="K213" t="s">
        <v>2558</v>
      </c>
    </row>
    <row r="214" spans="1:11">
      <c r="A214" t="s">
        <v>2555</v>
      </c>
      <c r="B214" t="s">
        <v>325</v>
      </c>
      <c r="C214" t="s">
        <v>2579</v>
      </c>
      <c r="D214" s="1">
        <v>46133</v>
      </c>
      <c r="E214" s="1">
        <v>46163</v>
      </c>
      <c r="F214">
        <v>301409.53999999998</v>
      </c>
      <c r="G214" t="s">
        <v>2557</v>
      </c>
      <c r="H214">
        <v>301409.53999999998</v>
      </c>
      <c r="I214">
        <v>0</v>
      </c>
      <c r="J214">
        <v>102</v>
      </c>
      <c r="K214" t="s">
        <v>2558</v>
      </c>
    </row>
    <row r="215" spans="1:11">
      <c r="A215" t="s">
        <v>2555</v>
      </c>
      <c r="B215" t="s">
        <v>1418</v>
      </c>
      <c r="C215" t="s">
        <v>2583</v>
      </c>
      <c r="D215" s="1">
        <v>46128</v>
      </c>
      <c r="E215" s="1">
        <v>46188</v>
      </c>
      <c r="F215">
        <v>176479.95</v>
      </c>
      <c r="G215" t="s">
        <v>2562</v>
      </c>
      <c r="H215">
        <v>176479.95</v>
      </c>
      <c r="I215">
        <v>0</v>
      </c>
      <c r="J215">
        <v>77</v>
      </c>
      <c r="K215" t="s">
        <v>2558</v>
      </c>
    </row>
    <row r="216" spans="1:11">
      <c r="A216" t="s">
        <v>2555</v>
      </c>
      <c r="B216" t="s">
        <v>327</v>
      </c>
      <c r="C216" t="s">
        <v>2601</v>
      </c>
      <c r="D216" s="1">
        <v>46135</v>
      </c>
      <c r="E216" s="1">
        <v>46165</v>
      </c>
      <c r="F216">
        <v>5000</v>
      </c>
      <c r="G216" t="s">
        <v>2574</v>
      </c>
      <c r="H216">
        <v>5000</v>
      </c>
      <c r="I216">
        <v>0</v>
      </c>
      <c r="J216">
        <v>100</v>
      </c>
      <c r="K216" t="s">
        <v>2558</v>
      </c>
    </row>
    <row r="217" spans="1:11">
      <c r="A217" t="s">
        <v>2555</v>
      </c>
      <c r="B217" t="s">
        <v>329</v>
      </c>
      <c r="C217" t="s">
        <v>2579</v>
      </c>
      <c r="D217" s="1">
        <v>46135</v>
      </c>
      <c r="E217" s="1">
        <v>46165</v>
      </c>
      <c r="F217">
        <v>731992.64</v>
      </c>
      <c r="G217" t="s">
        <v>2557</v>
      </c>
      <c r="H217">
        <v>731992.64</v>
      </c>
      <c r="I217">
        <v>0</v>
      </c>
      <c r="J217">
        <v>100</v>
      </c>
      <c r="K217" t="s">
        <v>2558</v>
      </c>
    </row>
    <row r="218" spans="1:11">
      <c r="A218" t="s">
        <v>2555</v>
      </c>
      <c r="B218" t="s">
        <v>577</v>
      </c>
      <c r="C218" t="s">
        <v>2595</v>
      </c>
      <c r="D218" s="1">
        <v>46128</v>
      </c>
      <c r="E218" s="1">
        <v>46158</v>
      </c>
      <c r="F218">
        <v>211158.1</v>
      </c>
      <c r="G218" t="s">
        <v>2568</v>
      </c>
      <c r="H218">
        <v>211158.1</v>
      </c>
      <c r="I218">
        <v>0</v>
      </c>
      <c r="J218">
        <v>107</v>
      </c>
      <c r="K218" t="s">
        <v>2558</v>
      </c>
    </row>
    <row r="219" spans="1:11">
      <c r="A219" t="s">
        <v>2555</v>
      </c>
      <c r="B219" t="s">
        <v>331</v>
      </c>
      <c r="C219" t="s">
        <v>2588</v>
      </c>
      <c r="D219" s="1">
        <v>46135</v>
      </c>
      <c r="E219" s="1">
        <v>46165</v>
      </c>
      <c r="F219">
        <v>349382.43</v>
      </c>
      <c r="G219" t="s">
        <v>2562</v>
      </c>
      <c r="H219">
        <v>349382.43</v>
      </c>
      <c r="I219">
        <v>0</v>
      </c>
      <c r="J219">
        <v>100</v>
      </c>
      <c r="K219" t="s">
        <v>2558</v>
      </c>
    </row>
    <row r="220" spans="1:11">
      <c r="A220" t="s">
        <v>2555</v>
      </c>
      <c r="B220" t="s">
        <v>333</v>
      </c>
      <c r="C220" t="s">
        <v>2595</v>
      </c>
      <c r="D220" s="1">
        <v>46136</v>
      </c>
      <c r="E220" s="1">
        <v>46166</v>
      </c>
      <c r="F220">
        <v>567334.06999999995</v>
      </c>
      <c r="G220" t="s">
        <v>2568</v>
      </c>
      <c r="H220">
        <v>567334.06999999995</v>
      </c>
      <c r="I220">
        <v>0</v>
      </c>
      <c r="J220">
        <v>99</v>
      </c>
      <c r="K220" t="s">
        <v>2558</v>
      </c>
    </row>
    <row r="221" spans="1:11">
      <c r="A221" t="s">
        <v>2614</v>
      </c>
      <c r="B221" t="s">
        <v>335</v>
      </c>
      <c r="C221" t="s">
        <v>2588</v>
      </c>
      <c r="D221" s="1">
        <v>46152</v>
      </c>
      <c r="E221" s="1">
        <v>46182</v>
      </c>
      <c r="F221">
        <v>43736.06</v>
      </c>
      <c r="G221" t="s">
        <v>2562</v>
      </c>
      <c r="H221">
        <v>14162.130000000001</v>
      </c>
      <c r="I221">
        <v>29573.93</v>
      </c>
      <c r="J221">
        <v>83</v>
      </c>
      <c r="K221" t="s">
        <v>2609</v>
      </c>
    </row>
    <row r="222" spans="1:11">
      <c r="A222" t="s">
        <v>2555</v>
      </c>
      <c r="B222" t="s">
        <v>1162</v>
      </c>
      <c r="C222" t="s">
        <v>2583</v>
      </c>
      <c r="D222" s="1">
        <v>46129</v>
      </c>
      <c r="E222" s="1">
        <v>46189</v>
      </c>
      <c r="F222">
        <v>94985.66</v>
      </c>
      <c r="G222" t="s">
        <v>2562</v>
      </c>
      <c r="H222">
        <v>43441.61</v>
      </c>
      <c r="I222">
        <v>51544.05</v>
      </c>
      <c r="J222">
        <v>76</v>
      </c>
      <c r="K222" t="s">
        <v>2609</v>
      </c>
    </row>
    <row r="223" spans="1:11">
      <c r="A223" t="s">
        <v>2555</v>
      </c>
      <c r="B223" t="s">
        <v>343</v>
      </c>
      <c r="C223" t="s">
        <v>2582</v>
      </c>
      <c r="D223" s="1">
        <v>46129</v>
      </c>
      <c r="E223" s="1">
        <v>46159</v>
      </c>
      <c r="F223">
        <v>37093.370000000003</v>
      </c>
      <c r="G223" t="s">
        <v>2557</v>
      </c>
      <c r="H223">
        <v>37093.370000000003</v>
      </c>
      <c r="I223">
        <v>0</v>
      </c>
      <c r="J223">
        <v>106</v>
      </c>
      <c r="K223" t="s">
        <v>2558</v>
      </c>
    </row>
    <row r="224" spans="1:11">
      <c r="A224" t="s">
        <v>2555</v>
      </c>
      <c r="B224" t="s">
        <v>841</v>
      </c>
      <c r="C224" t="s">
        <v>2620</v>
      </c>
      <c r="D224" s="1">
        <v>46129</v>
      </c>
      <c r="E224" s="1">
        <v>46159</v>
      </c>
      <c r="F224">
        <v>32304.240000000002</v>
      </c>
      <c r="G224" t="s">
        <v>2568</v>
      </c>
      <c r="H224">
        <v>32304.240000000002</v>
      </c>
      <c r="I224">
        <v>0</v>
      </c>
      <c r="J224">
        <v>106</v>
      </c>
      <c r="K224" t="s">
        <v>2558</v>
      </c>
    </row>
    <row r="225" spans="1:11">
      <c r="A225" t="s">
        <v>2555</v>
      </c>
      <c r="B225" t="s">
        <v>1878</v>
      </c>
      <c r="C225" t="s">
        <v>2585</v>
      </c>
      <c r="D225" s="1">
        <v>46129</v>
      </c>
      <c r="E225" s="1">
        <v>46159</v>
      </c>
      <c r="F225">
        <v>706804.35</v>
      </c>
      <c r="G225" t="s">
        <v>2562</v>
      </c>
      <c r="H225">
        <v>706804.35</v>
      </c>
      <c r="I225">
        <v>0</v>
      </c>
      <c r="J225">
        <v>106</v>
      </c>
      <c r="K225" t="s">
        <v>2558</v>
      </c>
    </row>
    <row r="226" spans="1:11">
      <c r="A226" t="s">
        <v>2555</v>
      </c>
      <c r="B226" t="s">
        <v>739</v>
      </c>
      <c r="C226" t="s">
        <v>2593</v>
      </c>
      <c r="D226" s="1">
        <v>46129</v>
      </c>
      <c r="E226" s="1">
        <v>46159</v>
      </c>
      <c r="F226">
        <v>26909.599999999999</v>
      </c>
      <c r="G226" t="s">
        <v>2574</v>
      </c>
      <c r="H226">
        <v>26909.599999999999</v>
      </c>
      <c r="I226">
        <v>0</v>
      </c>
      <c r="J226">
        <v>106</v>
      </c>
      <c r="K226" t="s">
        <v>2558</v>
      </c>
    </row>
    <row r="227" spans="1:11">
      <c r="A227" t="s">
        <v>2555</v>
      </c>
      <c r="B227" t="s">
        <v>471</v>
      </c>
      <c r="C227" t="s">
        <v>2579</v>
      </c>
      <c r="D227" s="1">
        <v>46129</v>
      </c>
      <c r="E227" s="1">
        <v>46159</v>
      </c>
      <c r="F227">
        <v>215699.62</v>
      </c>
      <c r="G227" t="s">
        <v>2557</v>
      </c>
      <c r="H227">
        <v>215699.62</v>
      </c>
      <c r="I227">
        <v>0</v>
      </c>
      <c r="J227">
        <v>106</v>
      </c>
      <c r="K227" t="s">
        <v>2558</v>
      </c>
    </row>
    <row r="228" spans="1:11">
      <c r="A228" t="s">
        <v>2555</v>
      </c>
      <c r="B228" t="s">
        <v>347</v>
      </c>
      <c r="C228" t="s">
        <v>2599</v>
      </c>
      <c r="D228" s="1">
        <v>46137</v>
      </c>
      <c r="E228" s="1">
        <v>46197</v>
      </c>
      <c r="F228">
        <v>775336.61</v>
      </c>
      <c r="G228" t="s">
        <v>2562</v>
      </c>
      <c r="H228">
        <v>775336.61</v>
      </c>
      <c r="I228">
        <v>0</v>
      </c>
      <c r="J228">
        <v>68</v>
      </c>
      <c r="K228" t="s">
        <v>2558</v>
      </c>
    </row>
    <row r="229" spans="1:11">
      <c r="A229" t="s">
        <v>2555</v>
      </c>
      <c r="B229" t="s">
        <v>1191</v>
      </c>
      <c r="C229" t="s">
        <v>2602</v>
      </c>
      <c r="D229" s="1">
        <v>46130</v>
      </c>
      <c r="E229" s="1">
        <v>46190</v>
      </c>
      <c r="F229">
        <v>141135.82999999999</v>
      </c>
      <c r="G229" t="s">
        <v>2562</v>
      </c>
      <c r="H229">
        <v>141135.82999999999</v>
      </c>
      <c r="I229">
        <v>0</v>
      </c>
      <c r="J229">
        <v>75</v>
      </c>
      <c r="K229" t="s">
        <v>2558</v>
      </c>
    </row>
    <row r="230" spans="1:11">
      <c r="A230" t="s">
        <v>2614</v>
      </c>
      <c r="B230" t="s">
        <v>349</v>
      </c>
      <c r="C230" t="s">
        <v>2572</v>
      </c>
      <c r="D230" s="1">
        <v>46147</v>
      </c>
      <c r="E230" s="1">
        <v>46162</v>
      </c>
      <c r="F230">
        <v>65444.7</v>
      </c>
      <c r="G230" t="s">
        <v>2557</v>
      </c>
      <c r="H230">
        <v>65444.7</v>
      </c>
      <c r="I230">
        <v>0</v>
      </c>
      <c r="J230">
        <v>103</v>
      </c>
      <c r="K230" t="s">
        <v>2558</v>
      </c>
    </row>
    <row r="231" spans="1:11">
      <c r="A231" t="s">
        <v>2555</v>
      </c>
      <c r="B231" t="s">
        <v>631</v>
      </c>
      <c r="C231" t="s">
        <v>2567</v>
      </c>
      <c r="D231" s="1">
        <v>46130</v>
      </c>
      <c r="E231" s="1">
        <v>46175</v>
      </c>
      <c r="F231">
        <v>808642.48</v>
      </c>
      <c r="G231" t="s">
        <v>2568</v>
      </c>
      <c r="H231">
        <v>808642.48</v>
      </c>
      <c r="I231">
        <v>0</v>
      </c>
      <c r="J231">
        <v>90</v>
      </c>
      <c r="K231" t="s">
        <v>2558</v>
      </c>
    </row>
    <row r="232" spans="1:11">
      <c r="A232" t="s">
        <v>2555</v>
      </c>
      <c r="B232" t="s">
        <v>353</v>
      </c>
      <c r="C232" t="s">
        <v>2582</v>
      </c>
      <c r="D232" s="1">
        <v>46132</v>
      </c>
      <c r="E232" s="1">
        <v>46162</v>
      </c>
      <c r="F232">
        <v>195600.67</v>
      </c>
      <c r="G232" t="s">
        <v>2557</v>
      </c>
      <c r="H232">
        <v>195600.67</v>
      </c>
      <c r="I232">
        <v>0</v>
      </c>
      <c r="J232">
        <v>103</v>
      </c>
      <c r="K232" t="s">
        <v>2558</v>
      </c>
    </row>
    <row r="233" spans="1:11">
      <c r="A233" t="s">
        <v>2555</v>
      </c>
      <c r="B233" t="s">
        <v>355</v>
      </c>
      <c r="C233" t="s">
        <v>2603</v>
      </c>
      <c r="D233" s="1">
        <v>46135</v>
      </c>
      <c r="E233" s="1">
        <v>46165</v>
      </c>
      <c r="F233">
        <v>35486.400000000001</v>
      </c>
      <c r="G233" t="s">
        <v>2557</v>
      </c>
      <c r="H233">
        <v>35486.400000000001</v>
      </c>
      <c r="I233">
        <v>0</v>
      </c>
      <c r="J233">
        <v>100</v>
      </c>
      <c r="K233" t="s">
        <v>2558</v>
      </c>
    </row>
    <row r="234" spans="1:11">
      <c r="A234" t="s">
        <v>2555</v>
      </c>
      <c r="B234" t="s">
        <v>357</v>
      </c>
      <c r="C234" t="s">
        <v>2600</v>
      </c>
      <c r="D234" s="1">
        <v>46137</v>
      </c>
      <c r="E234" s="1">
        <v>46167</v>
      </c>
      <c r="F234">
        <v>31321.72</v>
      </c>
      <c r="G234" t="s">
        <v>2568</v>
      </c>
      <c r="H234">
        <v>31321.72</v>
      </c>
      <c r="I234">
        <v>0</v>
      </c>
      <c r="J234">
        <v>98</v>
      </c>
      <c r="K234" t="s">
        <v>2558</v>
      </c>
    </row>
    <row r="235" spans="1:11">
      <c r="A235" t="s">
        <v>2555</v>
      </c>
      <c r="B235" t="s">
        <v>359</v>
      </c>
      <c r="C235" t="s">
        <v>2582</v>
      </c>
      <c r="D235" s="1">
        <v>46140</v>
      </c>
      <c r="E235" s="1">
        <v>46170</v>
      </c>
      <c r="F235">
        <v>58057.62</v>
      </c>
      <c r="G235" t="s">
        <v>2557</v>
      </c>
      <c r="H235">
        <v>58057.62</v>
      </c>
      <c r="I235">
        <v>0</v>
      </c>
      <c r="J235">
        <v>95</v>
      </c>
      <c r="K235" t="s">
        <v>2558</v>
      </c>
    </row>
    <row r="236" spans="1:11">
      <c r="A236" t="s">
        <v>2555</v>
      </c>
      <c r="B236" t="s">
        <v>361</v>
      </c>
      <c r="C236" t="s">
        <v>2611</v>
      </c>
      <c r="D236" s="1">
        <v>46141</v>
      </c>
      <c r="E236" s="1">
        <v>46186</v>
      </c>
      <c r="F236">
        <v>44829.96</v>
      </c>
      <c r="G236" t="s">
        <v>2566</v>
      </c>
      <c r="H236">
        <v>44829.96</v>
      </c>
      <c r="I236">
        <v>0</v>
      </c>
      <c r="J236">
        <v>79</v>
      </c>
      <c r="K236" t="s">
        <v>2558</v>
      </c>
    </row>
    <row r="237" spans="1:11">
      <c r="A237" t="s">
        <v>2614</v>
      </c>
      <c r="B237" t="s">
        <v>363</v>
      </c>
      <c r="C237" t="s">
        <v>2585</v>
      </c>
      <c r="D237" s="1">
        <v>46145</v>
      </c>
      <c r="E237" s="1">
        <v>46175</v>
      </c>
      <c r="F237">
        <v>176655.86</v>
      </c>
      <c r="G237" t="s">
        <v>2562</v>
      </c>
      <c r="H237">
        <v>176655.86</v>
      </c>
      <c r="I237">
        <v>0</v>
      </c>
      <c r="J237">
        <v>90</v>
      </c>
      <c r="K237" t="s">
        <v>2558</v>
      </c>
    </row>
    <row r="238" spans="1:11">
      <c r="A238" t="s">
        <v>2614</v>
      </c>
      <c r="B238" t="s">
        <v>365</v>
      </c>
      <c r="C238" t="s">
        <v>2575</v>
      </c>
      <c r="D238" s="1">
        <v>46146</v>
      </c>
      <c r="E238" s="1">
        <v>46161</v>
      </c>
      <c r="F238">
        <v>32084.880000000001</v>
      </c>
      <c r="G238" t="s">
        <v>2574</v>
      </c>
      <c r="H238">
        <v>32084.880000000001</v>
      </c>
      <c r="I238">
        <v>0</v>
      </c>
      <c r="J238">
        <v>104</v>
      </c>
      <c r="K238" t="s">
        <v>2558</v>
      </c>
    </row>
    <row r="239" spans="1:11">
      <c r="A239" t="s">
        <v>2555</v>
      </c>
      <c r="B239" t="s">
        <v>705</v>
      </c>
      <c r="C239" t="s">
        <v>2564</v>
      </c>
      <c r="D239" s="1">
        <v>46130</v>
      </c>
      <c r="E239" s="1">
        <v>46190</v>
      </c>
      <c r="F239">
        <v>1111833.3600000001</v>
      </c>
      <c r="G239" t="s">
        <v>2562</v>
      </c>
      <c r="H239">
        <v>1111833.3600000001</v>
      </c>
      <c r="I239">
        <v>0</v>
      </c>
      <c r="J239">
        <v>75</v>
      </c>
      <c r="K239" t="s">
        <v>2558</v>
      </c>
    </row>
    <row r="240" spans="1:11">
      <c r="A240" t="s">
        <v>2614</v>
      </c>
      <c r="B240" t="s">
        <v>367</v>
      </c>
      <c r="C240" t="s">
        <v>2588</v>
      </c>
      <c r="D240" s="1">
        <v>46150</v>
      </c>
      <c r="E240" s="1">
        <v>46180</v>
      </c>
      <c r="F240">
        <v>864598.34</v>
      </c>
      <c r="G240" t="s">
        <v>2562</v>
      </c>
      <c r="H240">
        <v>717485.32000000007</v>
      </c>
      <c r="I240">
        <v>147113.01999999999</v>
      </c>
      <c r="J240">
        <v>85</v>
      </c>
      <c r="K240" t="s">
        <v>2609</v>
      </c>
    </row>
    <row r="241" spans="1:11">
      <c r="A241" t="s">
        <v>2555</v>
      </c>
      <c r="B241" t="s">
        <v>2105</v>
      </c>
      <c r="C241" t="s">
        <v>2589</v>
      </c>
      <c r="D241" s="1">
        <v>46130</v>
      </c>
      <c r="E241" s="1">
        <v>46160</v>
      </c>
      <c r="F241">
        <v>62723.88</v>
      </c>
      <c r="G241" t="s">
        <v>2568</v>
      </c>
      <c r="H241">
        <v>62723.88</v>
      </c>
      <c r="I241">
        <v>0</v>
      </c>
      <c r="J241">
        <v>105</v>
      </c>
      <c r="K241" t="s">
        <v>2558</v>
      </c>
    </row>
    <row r="242" spans="1:11">
      <c r="A242" t="s">
        <v>2614</v>
      </c>
      <c r="B242" t="s">
        <v>369</v>
      </c>
      <c r="C242" t="s">
        <v>2575</v>
      </c>
      <c r="D242" s="1">
        <v>46151</v>
      </c>
      <c r="E242" s="1">
        <v>46166</v>
      </c>
      <c r="F242">
        <v>13608.98</v>
      </c>
      <c r="G242" t="s">
        <v>2574</v>
      </c>
      <c r="H242">
        <v>13608.98</v>
      </c>
      <c r="I242">
        <v>0</v>
      </c>
      <c r="J242">
        <v>99</v>
      </c>
      <c r="K242" t="s">
        <v>2558</v>
      </c>
    </row>
    <row r="243" spans="1:11">
      <c r="A243" t="s">
        <v>2555</v>
      </c>
      <c r="B243" t="s">
        <v>1880</v>
      </c>
      <c r="C243" t="s">
        <v>2579</v>
      </c>
      <c r="D243" s="1">
        <v>46130</v>
      </c>
      <c r="E243" s="1">
        <v>46160</v>
      </c>
      <c r="F243">
        <v>670887.15</v>
      </c>
      <c r="G243" t="s">
        <v>2557</v>
      </c>
      <c r="H243">
        <v>670887.15</v>
      </c>
      <c r="I243">
        <v>0</v>
      </c>
      <c r="J243">
        <v>105</v>
      </c>
      <c r="K243" t="s">
        <v>2558</v>
      </c>
    </row>
    <row r="244" spans="1:11">
      <c r="A244" t="s">
        <v>2614</v>
      </c>
      <c r="B244" t="s">
        <v>371</v>
      </c>
      <c r="C244" t="s">
        <v>2619</v>
      </c>
      <c r="D244" s="1">
        <v>46153</v>
      </c>
      <c r="E244" s="1">
        <v>46183</v>
      </c>
      <c r="F244">
        <v>29699.21</v>
      </c>
      <c r="G244" t="s">
        <v>2560</v>
      </c>
      <c r="H244">
        <v>29699.21</v>
      </c>
      <c r="I244">
        <v>0</v>
      </c>
      <c r="J244">
        <v>82</v>
      </c>
      <c r="K244" t="s">
        <v>2558</v>
      </c>
    </row>
    <row r="245" spans="1:11">
      <c r="A245" t="s">
        <v>2555</v>
      </c>
      <c r="B245" t="s">
        <v>553</v>
      </c>
      <c r="C245" t="s">
        <v>2599</v>
      </c>
      <c r="D245" s="1">
        <v>46130</v>
      </c>
      <c r="E245" s="1">
        <v>46190</v>
      </c>
      <c r="F245">
        <v>229366.23</v>
      </c>
      <c r="G245" t="s">
        <v>2562</v>
      </c>
      <c r="H245">
        <v>229366.23</v>
      </c>
      <c r="I245">
        <v>0</v>
      </c>
      <c r="J245">
        <v>75</v>
      </c>
      <c r="K245" t="s">
        <v>2558</v>
      </c>
    </row>
    <row r="246" spans="1:11">
      <c r="A246" t="s">
        <v>2555</v>
      </c>
      <c r="B246" t="s">
        <v>898</v>
      </c>
      <c r="C246" t="s">
        <v>2619</v>
      </c>
      <c r="D246" s="1">
        <v>46130</v>
      </c>
      <c r="E246" s="1">
        <v>46160</v>
      </c>
      <c r="F246">
        <v>12340.39</v>
      </c>
      <c r="G246" t="s">
        <v>2560</v>
      </c>
      <c r="H246">
        <v>12340.39</v>
      </c>
      <c r="I246">
        <v>0</v>
      </c>
      <c r="J246">
        <v>105</v>
      </c>
      <c r="K246" t="s">
        <v>2558</v>
      </c>
    </row>
    <row r="247" spans="1:11">
      <c r="A247" t="s">
        <v>2555</v>
      </c>
      <c r="B247" t="s">
        <v>376</v>
      </c>
      <c r="C247" t="s">
        <v>2587</v>
      </c>
      <c r="D247" s="1">
        <v>46140</v>
      </c>
      <c r="E247" s="1">
        <v>46200</v>
      </c>
      <c r="F247">
        <v>2000000</v>
      </c>
      <c r="G247" t="s">
        <v>2568</v>
      </c>
      <c r="H247">
        <v>2000000</v>
      </c>
      <c r="I247">
        <v>0</v>
      </c>
      <c r="J247">
        <v>65</v>
      </c>
      <c r="K247" t="s">
        <v>2558</v>
      </c>
    </row>
    <row r="248" spans="1:11">
      <c r="A248" t="s">
        <v>2555</v>
      </c>
      <c r="B248" t="s">
        <v>378</v>
      </c>
      <c r="C248" t="s">
        <v>2623</v>
      </c>
      <c r="D248" s="1">
        <v>46140</v>
      </c>
      <c r="E248" s="1">
        <v>46170</v>
      </c>
      <c r="F248">
        <v>185727.02</v>
      </c>
      <c r="G248" t="s">
        <v>2562</v>
      </c>
      <c r="H248">
        <v>185727.02</v>
      </c>
      <c r="I248">
        <v>0</v>
      </c>
      <c r="J248">
        <v>95</v>
      </c>
      <c r="K248" t="s">
        <v>2558</v>
      </c>
    </row>
    <row r="249" spans="1:11">
      <c r="A249" t="s">
        <v>2614</v>
      </c>
      <c r="B249" t="s">
        <v>380</v>
      </c>
      <c r="C249" t="s">
        <v>2582</v>
      </c>
      <c r="D249" s="1">
        <v>46152</v>
      </c>
      <c r="E249" s="1">
        <v>46182</v>
      </c>
      <c r="F249">
        <v>25076.720000000001</v>
      </c>
      <c r="G249" t="s">
        <v>2557</v>
      </c>
      <c r="H249">
        <v>25076.720000000001</v>
      </c>
      <c r="I249">
        <v>0</v>
      </c>
      <c r="J249">
        <v>83</v>
      </c>
      <c r="K249" t="s">
        <v>2558</v>
      </c>
    </row>
    <row r="250" spans="1:11">
      <c r="A250" t="s">
        <v>2555</v>
      </c>
      <c r="B250" t="s">
        <v>555</v>
      </c>
      <c r="C250" t="s">
        <v>2573</v>
      </c>
      <c r="D250" s="1">
        <v>46131</v>
      </c>
      <c r="E250" s="1">
        <v>46161</v>
      </c>
      <c r="F250">
        <v>16452.52</v>
      </c>
      <c r="G250" t="s">
        <v>2574</v>
      </c>
      <c r="H250">
        <v>16452.52</v>
      </c>
      <c r="I250">
        <v>0</v>
      </c>
      <c r="J250">
        <v>104</v>
      </c>
      <c r="K250" t="s">
        <v>2558</v>
      </c>
    </row>
    <row r="251" spans="1:11">
      <c r="A251" t="s">
        <v>2555</v>
      </c>
      <c r="B251" t="s">
        <v>2624</v>
      </c>
      <c r="C251" t="s">
        <v>2611</v>
      </c>
      <c r="D251" s="1">
        <v>46131</v>
      </c>
      <c r="E251" s="1">
        <v>46176</v>
      </c>
      <c r="F251">
        <v>844192.38</v>
      </c>
      <c r="G251" t="s">
        <v>2566</v>
      </c>
      <c r="I251">
        <v>844192.38</v>
      </c>
      <c r="J251">
        <v>89</v>
      </c>
      <c r="K251" t="s">
        <v>2609</v>
      </c>
    </row>
    <row r="252" spans="1:11">
      <c r="A252" t="s">
        <v>2614</v>
      </c>
      <c r="B252" t="s">
        <v>390</v>
      </c>
      <c r="C252" t="s">
        <v>2579</v>
      </c>
      <c r="D252" s="1">
        <v>46143</v>
      </c>
      <c r="E252" s="1">
        <v>46173</v>
      </c>
      <c r="F252">
        <v>789606.96</v>
      </c>
      <c r="G252" t="s">
        <v>2557</v>
      </c>
      <c r="H252">
        <v>789606.96</v>
      </c>
      <c r="I252">
        <v>0</v>
      </c>
      <c r="J252">
        <v>92</v>
      </c>
      <c r="K252" t="s">
        <v>2558</v>
      </c>
    </row>
    <row r="253" spans="1:11">
      <c r="A253" t="s">
        <v>2555</v>
      </c>
      <c r="B253" t="s">
        <v>874</v>
      </c>
      <c r="C253" t="s">
        <v>2556</v>
      </c>
      <c r="D253" s="1">
        <v>46131</v>
      </c>
      <c r="E253" s="1">
        <v>46161</v>
      </c>
      <c r="F253">
        <v>46852.58</v>
      </c>
      <c r="G253" t="s">
        <v>2557</v>
      </c>
      <c r="H253">
        <v>46852.58</v>
      </c>
      <c r="I253">
        <v>0</v>
      </c>
      <c r="J253">
        <v>104</v>
      </c>
      <c r="K253" t="s">
        <v>2558</v>
      </c>
    </row>
    <row r="254" spans="1:11">
      <c r="A254" t="s">
        <v>2614</v>
      </c>
      <c r="B254" t="s">
        <v>392</v>
      </c>
      <c r="C254" t="s">
        <v>2603</v>
      </c>
      <c r="D254" s="1">
        <v>46146</v>
      </c>
      <c r="E254" s="1">
        <v>46176</v>
      </c>
      <c r="F254">
        <v>63417.5</v>
      </c>
      <c r="G254" t="s">
        <v>2557</v>
      </c>
      <c r="H254">
        <v>63417.5</v>
      </c>
      <c r="I254">
        <v>0</v>
      </c>
      <c r="J254">
        <v>89</v>
      </c>
      <c r="K254" t="s">
        <v>2558</v>
      </c>
    </row>
    <row r="255" spans="1:11">
      <c r="A255" t="s">
        <v>2614</v>
      </c>
      <c r="B255" t="s">
        <v>394</v>
      </c>
      <c r="C255" t="s">
        <v>2575</v>
      </c>
      <c r="D255" s="1">
        <v>46147</v>
      </c>
      <c r="E255" s="1">
        <v>46162</v>
      </c>
      <c r="F255">
        <v>34078.58</v>
      </c>
      <c r="G255" t="s">
        <v>2574</v>
      </c>
      <c r="H255">
        <v>34078.58</v>
      </c>
      <c r="I255">
        <v>0</v>
      </c>
      <c r="J255">
        <v>103</v>
      </c>
      <c r="K255" t="s">
        <v>2558</v>
      </c>
    </row>
    <row r="256" spans="1:11">
      <c r="A256" t="s">
        <v>2555</v>
      </c>
      <c r="B256" t="s">
        <v>396</v>
      </c>
      <c r="C256" t="s">
        <v>2570</v>
      </c>
      <c r="D256" s="1">
        <v>46133</v>
      </c>
      <c r="E256" s="1">
        <v>46163</v>
      </c>
      <c r="F256">
        <v>293983.57</v>
      </c>
      <c r="G256" t="s">
        <v>2557</v>
      </c>
      <c r="H256">
        <v>293983.57</v>
      </c>
      <c r="I256">
        <v>0</v>
      </c>
      <c r="J256">
        <v>102</v>
      </c>
      <c r="K256" t="s">
        <v>2558</v>
      </c>
    </row>
    <row r="257" spans="1:11">
      <c r="A257" t="s">
        <v>2555</v>
      </c>
      <c r="B257" t="s">
        <v>557</v>
      </c>
      <c r="C257" t="s">
        <v>2599</v>
      </c>
      <c r="D257" s="1">
        <v>46132</v>
      </c>
      <c r="E257" s="1">
        <v>46192</v>
      </c>
      <c r="F257">
        <v>411018.77</v>
      </c>
      <c r="G257" t="s">
        <v>2562</v>
      </c>
      <c r="H257">
        <v>411018.77</v>
      </c>
      <c r="I257">
        <v>0</v>
      </c>
      <c r="J257">
        <v>73</v>
      </c>
      <c r="K257" t="s">
        <v>2558</v>
      </c>
    </row>
    <row r="258" spans="1:11">
      <c r="A258" t="s">
        <v>2614</v>
      </c>
      <c r="B258" t="s">
        <v>398</v>
      </c>
      <c r="C258" t="s">
        <v>2601</v>
      </c>
      <c r="D258" s="1">
        <v>46148</v>
      </c>
      <c r="E258" s="1">
        <v>46178</v>
      </c>
      <c r="F258">
        <v>55043.34</v>
      </c>
      <c r="G258" t="s">
        <v>2574</v>
      </c>
      <c r="H258">
        <v>55043.34</v>
      </c>
      <c r="I258">
        <v>0</v>
      </c>
      <c r="J258">
        <v>87</v>
      </c>
      <c r="K258" t="s">
        <v>2558</v>
      </c>
    </row>
    <row r="259" spans="1:11">
      <c r="A259" t="s">
        <v>2614</v>
      </c>
      <c r="B259" t="s">
        <v>400</v>
      </c>
      <c r="C259" t="s">
        <v>2612</v>
      </c>
      <c r="D259" s="1">
        <v>46148</v>
      </c>
      <c r="E259" s="1">
        <v>46178</v>
      </c>
      <c r="F259">
        <v>9860.6</v>
      </c>
      <c r="G259" t="s">
        <v>2566</v>
      </c>
      <c r="H259">
        <v>9860.6</v>
      </c>
      <c r="I259">
        <v>0</v>
      </c>
      <c r="J259">
        <v>87</v>
      </c>
      <c r="K259" t="s">
        <v>2558</v>
      </c>
    </row>
    <row r="260" spans="1:11">
      <c r="A260" t="s">
        <v>2614</v>
      </c>
      <c r="B260" t="s">
        <v>402</v>
      </c>
      <c r="C260" t="s">
        <v>2581</v>
      </c>
      <c r="D260" s="1">
        <v>46154</v>
      </c>
      <c r="E260" s="1">
        <v>46169</v>
      </c>
      <c r="F260">
        <v>27299.39</v>
      </c>
      <c r="G260" t="s">
        <v>2562</v>
      </c>
      <c r="H260">
        <v>27299.39</v>
      </c>
      <c r="I260">
        <v>0</v>
      </c>
      <c r="J260">
        <v>96</v>
      </c>
      <c r="K260" t="s">
        <v>2558</v>
      </c>
    </row>
    <row r="261" spans="1:11">
      <c r="A261" t="s">
        <v>2555</v>
      </c>
      <c r="B261" t="s">
        <v>420</v>
      </c>
      <c r="C261" t="s">
        <v>2611</v>
      </c>
      <c r="D261" s="1">
        <v>46132</v>
      </c>
      <c r="E261" s="1">
        <v>46177</v>
      </c>
      <c r="F261">
        <v>148558</v>
      </c>
      <c r="G261" t="s">
        <v>2566</v>
      </c>
      <c r="H261">
        <v>148558</v>
      </c>
      <c r="I261">
        <v>0</v>
      </c>
      <c r="J261">
        <v>88</v>
      </c>
      <c r="K261" t="s">
        <v>2558</v>
      </c>
    </row>
    <row r="262" spans="1:11">
      <c r="A262" t="s">
        <v>2614</v>
      </c>
      <c r="B262" t="s">
        <v>404</v>
      </c>
      <c r="C262" t="s">
        <v>2579</v>
      </c>
      <c r="D262" s="1">
        <v>46160</v>
      </c>
      <c r="E262" s="1">
        <v>46190</v>
      </c>
      <c r="F262">
        <v>347218.48</v>
      </c>
      <c r="G262" t="s">
        <v>2557</v>
      </c>
      <c r="H262">
        <v>347218.48</v>
      </c>
      <c r="I262">
        <v>0</v>
      </c>
      <c r="J262">
        <v>75</v>
      </c>
      <c r="K262" t="s">
        <v>2558</v>
      </c>
    </row>
    <row r="263" spans="1:11">
      <c r="A263" t="s">
        <v>2555</v>
      </c>
      <c r="B263" t="s">
        <v>1069</v>
      </c>
      <c r="C263" t="s">
        <v>2612</v>
      </c>
      <c r="D263" s="1">
        <v>46132</v>
      </c>
      <c r="E263" s="1">
        <v>46162</v>
      </c>
      <c r="F263">
        <v>53685.85</v>
      </c>
      <c r="G263" t="s">
        <v>2566</v>
      </c>
      <c r="H263">
        <v>53685.85</v>
      </c>
      <c r="I263">
        <v>0</v>
      </c>
      <c r="J263">
        <v>103</v>
      </c>
      <c r="K263" t="s">
        <v>2558</v>
      </c>
    </row>
    <row r="264" spans="1:11">
      <c r="A264" t="s">
        <v>2614</v>
      </c>
      <c r="B264" t="s">
        <v>407</v>
      </c>
      <c r="C264" t="s">
        <v>2573</v>
      </c>
      <c r="D264" s="1">
        <v>46143</v>
      </c>
      <c r="E264" s="1">
        <v>46173</v>
      </c>
      <c r="F264">
        <v>43023.98</v>
      </c>
      <c r="G264" t="s">
        <v>2574</v>
      </c>
      <c r="H264">
        <v>43023.98</v>
      </c>
      <c r="I264">
        <v>0</v>
      </c>
      <c r="J264">
        <v>92</v>
      </c>
      <c r="K264" t="s">
        <v>2558</v>
      </c>
    </row>
    <row r="265" spans="1:11">
      <c r="A265" t="s">
        <v>2614</v>
      </c>
      <c r="B265" t="s">
        <v>411</v>
      </c>
      <c r="C265" t="s">
        <v>2620</v>
      </c>
      <c r="D265" s="1">
        <v>46149</v>
      </c>
      <c r="E265" s="1">
        <v>46179</v>
      </c>
      <c r="F265">
        <v>54468.88</v>
      </c>
      <c r="G265" t="s">
        <v>2568</v>
      </c>
      <c r="H265">
        <v>54468.88</v>
      </c>
      <c r="I265">
        <v>0</v>
      </c>
      <c r="J265">
        <v>86</v>
      </c>
      <c r="K265" t="s">
        <v>2558</v>
      </c>
    </row>
    <row r="266" spans="1:11">
      <c r="A266" t="s">
        <v>2555</v>
      </c>
      <c r="B266" t="s">
        <v>1929</v>
      </c>
      <c r="C266" t="s">
        <v>2603</v>
      </c>
      <c r="D266" s="1">
        <v>46132</v>
      </c>
      <c r="E266" s="1">
        <v>46162</v>
      </c>
      <c r="F266">
        <v>27974.97</v>
      </c>
      <c r="G266" t="s">
        <v>2557</v>
      </c>
      <c r="H266">
        <v>27974.97</v>
      </c>
      <c r="I266">
        <v>0</v>
      </c>
      <c r="J266">
        <v>103</v>
      </c>
      <c r="K266" t="s">
        <v>2558</v>
      </c>
    </row>
    <row r="267" spans="1:11">
      <c r="A267" t="s">
        <v>2614</v>
      </c>
      <c r="B267" t="s">
        <v>413</v>
      </c>
      <c r="C267" t="s">
        <v>2620</v>
      </c>
      <c r="D267" s="1">
        <v>46152</v>
      </c>
      <c r="E267" s="1">
        <v>46182</v>
      </c>
      <c r="F267">
        <v>78969.289999999994</v>
      </c>
      <c r="G267" t="s">
        <v>2568</v>
      </c>
      <c r="H267">
        <v>78969.289999999994</v>
      </c>
      <c r="I267">
        <v>0</v>
      </c>
      <c r="J267">
        <v>83</v>
      </c>
      <c r="K267" t="s">
        <v>2558</v>
      </c>
    </row>
    <row r="268" spans="1:11">
      <c r="A268" t="s">
        <v>2614</v>
      </c>
      <c r="B268" t="s">
        <v>415</v>
      </c>
      <c r="C268" t="s">
        <v>2580</v>
      </c>
      <c r="D268" s="1">
        <v>46157</v>
      </c>
      <c r="E268" s="1">
        <v>46172</v>
      </c>
      <c r="F268">
        <v>132447.43</v>
      </c>
      <c r="G268" t="s">
        <v>2557</v>
      </c>
      <c r="H268">
        <v>132447.43</v>
      </c>
      <c r="I268">
        <v>0</v>
      </c>
      <c r="J268">
        <v>93</v>
      </c>
      <c r="K268" t="s">
        <v>2558</v>
      </c>
    </row>
    <row r="269" spans="1:11">
      <c r="A269" t="s">
        <v>2555</v>
      </c>
      <c r="B269" t="s">
        <v>876</v>
      </c>
      <c r="C269" t="s">
        <v>2580</v>
      </c>
      <c r="D269" s="1">
        <v>46133</v>
      </c>
      <c r="E269" s="1">
        <v>46148</v>
      </c>
      <c r="F269">
        <v>188316.16</v>
      </c>
      <c r="G269" t="s">
        <v>2557</v>
      </c>
      <c r="H269">
        <v>188316.16</v>
      </c>
      <c r="I269">
        <v>0</v>
      </c>
      <c r="J269">
        <v>117</v>
      </c>
      <c r="K269" t="s">
        <v>2558</v>
      </c>
    </row>
    <row r="270" spans="1:11">
      <c r="A270" t="s">
        <v>2555</v>
      </c>
      <c r="B270" t="s">
        <v>454</v>
      </c>
      <c r="C270" t="s">
        <v>2613</v>
      </c>
      <c r="D270" s="1">
        <v>46133</v>
      </c>
      <c r="E270" s="1">
        <v>46193</v>
      </c>
      <c r="F270">
        <v>127500.3</v>
      </c>
      <c r="G270" t="s">
        <v>2560</v>
      </c>
      <c r="H270">
        <v>90247.23000000001</v>
      </c>
      <c r="I270">
        <v>37253.07</v>
      </c>
      <c r="J270">
        <v>72</v>
      </c>
      <c r="K270" t="s">
        <v>2609</v>
      </c>
    </row>
    <row r="271" spans="1:11">
      <c r="A271" t="s">
        <v>2555</v>
      </c>
      <c r="B271" t="s">
        <v>422</v>
      </c>
      <c r="C271" t="s">
        <v>2570</v>
      </c>
      <c r="D271" s="1">
        <v>46136</v>
      </c>
      <c r="E271" s="1">
        <v>46166</v>
      </c>
      <c r="F271">
        <v>123033.21</v>
      </c>
      <c r="G271" t="s">
        <v>2557</v>
      </c>
      <c r="H271">
        <v>123033.21</v>
      </c>
      <c r="I271">
        <v>0</v>
      </c>
      <c r="J271">
        <v>99</v>
      </c>
      <c r="K271" t="s">
        <v>2558</v>
      </c>
    </row>
    <row r="272" spans="1:11">
      <c r="A272" t="s">
        <v>2555</v>
      </c>
      <c r="B272" t="s">
        <v>424</v>
      </c>
      <c r="C272" t="s">
        <v>2561</v>
      </c>
      <c r="D272" s="1">
        <v>46141</v>
      </c>
      <c r="E272" s="1">
        <v>46186</v>
      </c>
      <c r="F272">
        <v>364292.42</v>
      </c>
      <c r="G272" t="s">
        <v>2562</v>
      </c>
      <c r="H272">
        <v>364292.42</v>
      </c>
      <c r="I272">
        <v>0</v>
      </c>
      <c r="J272">
        <v>79</v>
      </c>
      <c r="K272" t="s">
        <v>2558</v>
      </c>
    </row>
    <row r="273" spans="1:11">
      <c r="A273" t="s">
        <v>2555</v>
      </c>
      <c r="B273" t="s">
        <v>456</v>
      </c>
      <c r="C273" t="s">
        <v>2610</v>
      </c>
      <c r="D273" s="1">
        <v>46133</v>
      </c>
      <c r="E273" s="1">
        <v>46193</v>
      </c>
      <c r="F273">
        <v>19088.080000000002</v>
      </c>
      <c r="G273" t="s">
        <v>2574</v>
      </c>
      <c r="H273">
        <v>19088.080000000002</v>
      </c>
      <c r="I273">
        <v>0</v>
      </c>
      <c r="J273">
        <v>72</v>
      </c>
      <c r="K273" t="s">
        <v>2558</v>
      </c>
    </row>
    <row r="274" spans="1:11">
      <c r="A274" t="s">
        <v>2614</v>
      </c>
      <c r="B274" t="s">
        <v>426</v>
      </c>
      <c r="C274" t="s">
        <v>2588</v>
      </c>
      <c r="D274" s="1">
        <v>46144</v>
      </c>
      <c r="E274" s="1">
        <v>46174</v>
      </c>
      <c r="F274">
        <v>110187.42</v>
      </c>
      <c r="G274" t="s">
        <v>2562</v>
      </c>
      <c r="H274">
        <v>110187.42</v>
      </c>
      <c r="I274">
        <v>0</v>
      </c>
      <c r="J274">
        <v>91</v>
      </c>
      <c r="K274" t="s">
        <v>2558</v>
      </c>
    </row>
    <row r="275" spans="1:11">
      <c r="A275" t="s">
        <v>2555</v>
      </c>
      <c r="B275" t="s">
        <v>1164</v>
      </c>
      <c r="C275" t="s">
        <v>2582</v>
      </c>
      <c r="D275" s="1">
        <v>46133</v>
      </c>
      <c r="E275" s="1">
        <v>46163</v>
      </c>
      <c r="F275">
        <v>59868.2</v>
      </c>
      <c r="G275" t="s">
        <v>2557</v>
      </c>
      <c r="H275">
        <v>59868.2</v>
      </c>
      <c r="I275">
        <v>0</v>
      </c>
      <c r="J275">
        <v>102</v>
      </c>
      <c r="K275" t="s">
        <v>2558</v>
      </c>
    </row>
    <row r="276" spans="1:11">
      <c r="A276" t="s">
        <v>2614</v>
      </c>
      <c r="B276" t="s">
        <v>428</v>
      </c>
      <c r="C276" t="s">
        <v>2565</v>
      </c>
      <c r="D276" s="1">
        <v>46146</v>
      </c>
      <c r="E276" s="1">
        <v>46161</v>
      </c>
      <c r="F276">
        <v>46711.65</v>
      </c>
      <c r="G276" t="s">
        <v>2566</v>
      </c>
      <c r="H276">
        <v>46711.65</v>
      </c>
      <c r="I276">
        <v>0</v>
      </c>
      <c r="J276">
        <v>104</v>
      </c>
      <c r="K276" t="s">
        <v>2558</v>
      </c>
    </row>
    <row r="277" spans="1:11">
      <c r="A277" t="s">
        <v>2614</v>
      </c>
      <c r="B277" t="s">
        <v>430</v>
      </c>
      <c r="C277" t="s">
        <v>2578</v>
      </c>
      <c r="D277" s="1">
        <v>46149</v>
      </c>
      <c r="E277" s="1">
        <v>46164</v>
      </c>
      <c r="F277">
        <v>24005.43</v>
      </c>
      <c r="G277" t="s">
        <v>2562</v>
      </c>
      <c r="H277">
        <v>24005.43</v>
      </c>
      <c r="I277">
        <v>0</v>
      </c>
      <c r="J277">
        <v>101</v>
      </c>
      <c r="K277" t="s">
        <v>2558</v>
      </c>
    </row>
    <row r="278" spans="1:11">
      <c r="A278" t="s">
        <v>2614</v>
      </c>
      <c r="B278" t="s">
        <v>432</v>
      </c>
      <c r="C278" t="s">
        <v>2572</v>
      </c>
      <c r="D278" s="1">
        <v>46154</v>
      </c>
      <c r="E278" s="1">
        <v>46169</v>
      </c>
      <c r="F278">
        <v>33941.14</v>
      </c>
      <c r="G278" t="s">
        <v>2557</v>
      </c>
      <c r="H278">
        <v>33941.14</v>
      </c>
      <c r="I278">
        <v>0</v>
      </c>
      <c r="J278">
        <v>96</v>
      </c>
      <c r="K278" t="s">
        <v>2558</v>
      </c>
    </row>
    <row r="279" spans="1:11">
      <c r="A279" t="s">
        <v>2555</v>
      </c>
      <c r="B279" t="s">
        <v>438</v>
      </c>
      <c r="C279" t="s">
        <v>2571</v>
      </c>
      <c r="D279" s="1">
        <v>46134</v>
      </c>
      <c r="E279" s="1">
        <v>46179</v>
      </c>
      <c r="F279">
        <v>1412043.84</v>
      </c>
      <c r="G279" t="s">
        <v>2568</v>
      </c>
      <c r="H279">
        <v>1412043.84</v>
      </c>
      <c r="I279">
        <v>0</v>
      </c>
      <c r="J279">
        <v>86</v>
      </c>
      <c r="K279" t="s">
        <v>2558</v>
      </c>
    </row>
    <row r="280" spans="1:11">
      <c r="A280" t="s">
        <v>2614</v>
      </c>
      <c r="B280" t="s">
        <v>434</v>
      </c>
      <c r="C280" t="s">
        <v>2592</v>
      </c>
      <c r="D280" s="1">
        <v>46160</v>
      </c>
      <c r="E280" s="1">
        <v>46190</v>
      </c>
      <c r="F280">
        <v>456748.96</v>
      </c>
      <c r="G280" t="s">
        <v>2562</v>
      </c>
      <c r="H280">
        <v>456748.96</v>
      </c>
      <c r="I280">
        <v>0</v>
      </c>
      <c r="J280">
        <v>75</v>
      </c>
      <c r="K280" t="s">
        <v>2558</v>
      </c>
    </row>
    <row r="281" spans="1:11">
      <c r="A281" t="s">
        <v>2555</v>
      </c>
      <c r="B281" t="s">
        <v>1622</v>
      </c>
      <c r="C281" t="s">
        <v>2583</v>
      </c>
      <c r="D281" s="1">
        <v>46134</v>
      </c>
      <c r="E281" s="1">
        <v>46194</v>
      </c>
      <c r="F281">
        <v>476117.4</v>
      </c>
      <c r="G281" t="s">
        <v>2562</v>
      </c>
      <c r="H281">
        <v>476117.4</v>
      </c>
      <c r="I281">
        <v>0</v>
      </c>
      <c r="J281">
        <v>71</v>
      </c>
      <c r="K281" t="s">
        <v>2558</v>
      </c>
    </row>
    <row r="282" spans="1:11">
      <c r="A282" t="s">
        <v>2555</v>
      </c>
      <c r="B282" t="s">
        <v>633</v>
      </c>
      <c r="C282" t="s">
        <v>2610</v>
      </c>
      <c r="D282" s="1">
        <v>46134</v>
      </c>
      <c r="E282" s="1">
        <v>46194</v>
      </c>
      <c r="F282">
        <v>148452.01999999999</v>
      </c>
      <c r="G282" t="s">
        <v>2574</v>
      </c>
      <c r="H282">
        <v>87086.32</v>
      </c>
      <c r="I282">
        <v>61365.7</v>
      </c>
      <c r="J282">
        <v>71</v>
      </c>
      <c r="K282" t="s">
        <v>2609</v>
      </c>
    </row>
    <row r="283" spans="1:11">
      <c r="A283" t="s">
        <v>2555</v>
      </c>
      <c r="B283" t="s">
        <v>440</v>
      </c>
      <c r="C283" t="s">
        <v>2595</v>
      </c>
      <c r="D283" s="1">
        <v>46135</v>
      </c>
      <c r="E283" s="1">
        <v>46165</v>
      </c>
      <c r="F283">
        <v>372533.91</v>
      </c>
      <c r="G283" t="s">
        <v>2568</v>
      </c>
      <c r="H283">
        <v>372533.91</v>
      </c>
      <c r="I283">
        <v>0</v>
      </c>
      <c r="J283">
        <v>100</v>
      </c>
      <c r="K283" t="s">
        <v>2558</v>
      </c>
    </row>
    <row r="284" spans="1:11">
      <c r="A284" t="s">
        <v>2555</v>
      </c>
      <c r="B284" t="s">
        <v>807</v>
      </c>
      <c r="C284" t="s">
        <v>2577</v>
      </c>
      <c r="D284" s="1">
        <v>46134</v>
      </c>
      <c r="E284" s="1">
        <v>46164</v>
      </c>
      <c r="F284">
        <v>36259.97</v>
      </c>
      <c r="G284" t="s">
        <v>2562</v>
      </c>
      <c r="H284">
        <v>36259.97</v>
      </c>
      <c r="I284">
        <v>0</v>
      </c>
      <c r="J284">
        <v>101</v>
      </c>
      <c r="K284" t="s">
        <v>2558</v>
      </c>
    </row>
    <row r="285" spans="1:11">
      <c r="A285" t="s">
        <v>2555</v>
      </c>
      <c r="B285" t="s">
        <v>442</v>
      </c>
      <c r="C285" t="s">
        <v>2598</v>
      </c>
      <c r="D285" s="1">
        <v>46138</v>
      </c>
      <c r="E285" s="1">
        <v>46168</v>
      </c>
      <c r="F285">
        <v>65460.13</v>
      </c>
      <c r="G285" t="s">
        <v>2566</v>
      </c>
      <c r="H285">
        <v>65460.13</v>
      </c>
      <c r="I285">
        <v>0</v>
      </c>
      <c r="J285">
        <v>97</v>
      </c>
      <c r="K285" t="s">
        <v>2558</v>
      </c>
    </row>
    <row r="286" spans="1:11">
      <c r="A286" t="s">
        <v>2555</v>
      </c>
      <c r="B286" t="s">
        <v>444</v>
      </c>
      <c r="C286" t="s">
        <v>2570</v>
      </c>
      <c r="D286" s="1">
        <v>46138</v>
      </c>
      <c r="E286" s="1">
        <v>46168</v>
      </c>
      <c r="F286">
        <v>376178.78</v>
      </c>
      <c r="G286" t="s">
        <v>2557</v>
      </c>
      <c r="H286">
        <v>376178.78</v>
      </c>
      <c r="I286">
        <v>0</v>
      </c>
      <c r="J286">
        <v>97</v>
      </c>
      <c r="K286" t="s">
        <v>2558</v>
      </c>
    </row>
    <row r="287" spans="1:11">
      <c r="A287" t="s">
        <v>2555</v>
      </c>
      <c r="B287" t="s">
        <v>854</v>
      </c>
      <c r="C287" t="s">
        <v>2567</v>
      </c>
      <c r="D287" s="1">
        <v>46134</v>
      </c>
      <c r="E287" s="1">
        <v>46179</v>
      </c>
      <c r="F287">
        <v>381372.92</v>
      </c>
      <c r="G287" t="s">
        <v>2568</v>
      </c>
      <c r="H287">
        <v>381372.92</v>
      </c>
      <c r="I287">
        <v>0</v>
      </c>
      <c r="J287">
        <v>86</v>
      </c>
      <c r="K287" t="s">
        <v>2558</v>
      </c>
    </row>
    <row r="288" spans="1:11">
      <c r="A288" t="s">
        <v>2555</v>
      </c>
      <c r="B288" t="s">
        <v>446</v>
      </c>
      <c r="C288" t="s">
        <v>2564</v>
      </c>
      <c r="D288" s="1">
        <v>46139</v>
      </c>
      <c r="E288" s="1">
        <v>46199</v>
      </c>
      <c r="F288">
        <v>989605.61</v>
      </c>
      <c r="G288" t="s">
        <v>2562</v>
      </c>
      <c r="H288">
        <v>989605.61</v>
      </c>
      <c r="I288">
        <v>0</v>
      </c>
      <c r="J288">
        <v>66</v>
      </c>
      <c r="K288" t="s">
        <v>2558</v>
      </c>
    </row>
    <row r="289" spans="1:11">
      <c r="A289" t="s">
        <v>2555</v>
      </c>
      <c r="B289" t="s">
        <v>2107</v>
      </c>
      <c r="C289" t="s">
        <v>2573</v>
      </c>
      <c r="D289" s="1">
        <v>46135</v>
      </c>
      <c r="E289" s="1">
        <v>46165</v>
      </c>
      <c r="F289">
        <v>179146.39</v>
      </c>
      <c r="G289" t="s">
        <v>2574</v>
      </c>
      <c r="H289">
        <v>179146.39</v>
      </c>
      <c r="I289">
        <v>0</v>
      </c>
      <c r="J289">
        <v>100</v>
      </c>
      <c r="K289" t="s">
        <v>2558</v>
      </c>
    </row>
    <row r="290" spans="1:11">
      <c r="A290" t="s">
        <v>2614</v>
      </c>
      <c r="B290" t="s">
        <v>448</v>
      </c>
      <c r="C290" t="s">
        <v>2615</v>
      </c>
      <c r="D290" s="1">
        <v>46155</v>
      </c>
      <c r="E290" s="1">
        <v>46170</v>
      </c>
      <c r="F290">
        <v>42127.34</v>
      </c>
      <c r="G290" t="s">
        <v>2574</v>
      </c>
      <c r="H290">
        <v>42127.34</v>
      </c>
      <c r="I290">
        <v>0</v>
      </c>
      <c r="J290">
        <v>95</v>
      </c>
      <c r="K290" t="s">
        <v>2558</v>
      </c>
    </row>
    <row r="291" spans="1:11">
      <c r="A291" t="s">
        <v>2555</v>
      </c>
      <c r="B291" t="s">
        <v>2023</v>
      </c>
      <c r="C291" t="s">
        <v>2564</v>
      </c>
      <c r="D291" s="1">
        <v>46135</v>
      </c>
      <c r="E291" s="1">
        <v>46195</v>
      </c>
      <c r="F291">
        <v>56752.68</v>
      </c>
      <c r="G291" t="s">
        <v>2562</v>
      </c>
      <c r="H291">
        <v>56752.68</v>
      </c>
      <c r="I291">
        <v>0</v>
      </c>
      <c r="J291">
        <v>70</v>
      </c>
      <c r="K291" t="s">
        <v>2558</v>
      </c>
    </row>
    <row r="292" spans="1:11">
      <c r="A292" t="s">
        <v>2555</v>
      </c>
      <c r="B292" t="s">
        <v>526</v>
      </c>
      <c r="C292" t="s">
        <v>2567</v>
      </c>
      <c r="D292" s="1">
        <v>46135</v>
      </c>
      <c r="E292" s="1">
        <v>46180</v>
      </c>
      <c r="F292">
        <v>226820.5</v>
      </c>
      <c r="G292" t="s">
        <v>2568</v>
      </c>
      <c r="H292">
        <v>226820.5</v>
      </c>
      <c r="I292">
        <v>0</v>
      </c>
      <c r="J292">
        <v>85</v>
      </c>
      <c r="K292" t="s">
        <v>2558</v>
      </c>
    </row>
    <row r="293" spans="1:11">
      <c r="A293" t="s">
        <v>2555</v>
      </c>
      <c r="B293" t="s">
        <v>458</v>
      </c>
      <c r="C293" t="s">
        <v>2607</v>
      </c>
      <c r="D293" s="1">
        <v>46137</v>
      </c>
      <c r="E293" s="1">
        <v>46167</v>
      </c>
      <c r="F293">
        <v>67881.710000000006</v>
      </c>
      <c r="G293" t="s">
        <v>2562</v>
      </c>
      <c r="H293">
        <v>67881.710000000006</v>
      </c>
      <c r="I293">
        <v>0</v>
      </c>
      <c r="J293">
        <v>98</v>
      </c>
      <c r="K293" t="s">
        <v>2558</v>
      </c>
    </row>
    <row r="294" spans="1:11">
      <c r="A294" t="s">
        <v>2614</v>
      </c>
      <c r="B294" t="s">
        <v>460</v>
      </c>
      <c r="C294" t="s">
        <v>2623</v>
      </c>
      <c r="D294" s="1">
        <v>46145</v>
      </c>
      <c r="E294" s="1">
        <v>46175</v>
      </c>
      <c r="F294">
        <v>174464.25</v>
      </c>
      <c r="G294" t="s">
        <v>2562</v>
      </c>
      <c r="H294">
        <v>174464.25</v>
      </c>
      <c r="I294">
        <v>0</v>
      </c>
      <c r="J294">
        <v>90</v>
      </c>
      <c r="K294" t="s">
        <v>2558</v>
      </c>
    </row>
    <row r="295" spans="1:11">
      <c r="A295" t="s">
        <v>2555</v>
      </c>
      <c r="B295" t="s">
        <v>2625</v>
      </c>
      <c r="C295" t="s">
        <v>2561</v>
      </c>
      <c r="D295" s="1">
        <v>46135</v>
      </c>
      <c r="E295" s="1">
        <v>46180</v>
      </c>
      <c r="F295">
        <v>263785.86</v>
      </c>
      <c r="G295" t="s">
        <v>2562</v>
      </c>
      <c r="I295">
        <v>263785.86</v>
      </c>
      <c r="J295">
        <v>85</v>
      </c>
      <c r="K295" t="s">
        <v>2609</v>
      </c>
    </row>
    <row r="296" spans="1:11">
      <c r="A296" t="s">
        <v>2614</v>
      </c>
      <c r="B296" t="s">
        <v>462</v>
      </c>
      <c r="C296" t="s">
        <v>2576</v>
      </c>
      <c r="D296" s="1">
        <v>46152</v>
      </c>
      <c r="E296" s="1">
        <v>46197</v>
      </c>
      <c r="F296">
        <v>134547.97</v>
      </c>
      <c r="G296" t="s">
        <v>2566</v>
      </c>
      <c r="H296">
        <v>134547.97</v>
      </c>
      <c r="I296">
        <v>0</v>
      </c>
      <c r="J296">
        <v>68</v>
      </c>
      <c r="K296" t="s">
        <v>2558</v>
      </c>
    </row>
    <row r="297" spans="1:11">
      <c r="A297" t="s">
        <v>2614</v>
      </c>
      <c r="B297" t="s">
        <v>464</v>
      </c>
      <c r="C297" t="s">
        <v>2572</v>
      </c>
      <c r="D297" s="1">
        <v>46155</v>
      </c>
      <c r="E297" s="1">
        <v>46170</v>
      </c>
      <c r="F297">
        <v>11697.29</v>
      </c>
      <c r="G297" t="s">
        <v>2557</v>
      </c>
      <c r="H297">
        <v>11697.29</v>
      </c>
      <c r="I297">
        <v>0</v>
      </c>
      <c r="J297">
        <v>95</v>
      </c>
      <c r="K297" t="s">
        <v>2558</v>
      </c>
    </row>
    <row r="298" spans="1:11">
      <c r="A298" t="s">
        <v>2555</v>
      </c>
      <c r="B298" t="s">
        <v>741</v>
      </c>
      <c r="C298" t="s">
        <v>2613</v>
      </c>
      <c r="D298" s="1">
        <v>46135</v>
      </c>
      <c r="E298" s="1">
        <v>46195</v>
      </c>
      <c r="F298">
        <v>166750.28</v>
      </c>
      <c r="G298" t="s">
        <v>2560</v>
      </c>
      <c r="H298">
        <v>166750.28</v>
      </c>
      <c r="I298">
        <v>0</v>
      </c>
      <c r="J298">
        <v>70</v>
      </c>
      <c r="K298" t="s">
        <v>2558</v>
      </c>
    </row>
    <row r="299" spans="1:11">
      <c r="A299" t="s">
        <v>2555</v>
      </c>
      <c r="B299" t="s">
        <v>776</v>
      </c>
      <c r="C299" t="s">
        <v>2602</v>
      </c>
      <c r="D299" s="1">
        <v>46136</v>
      </c>
      <c r="E299" s="1">
        <v>46196</v>
      </c>
      <c r="F299">
        <v>181391.09</v>
      </c>
      <c r="G299" t="s">
        <v>2562</v>
      </c>
      <c r="H299">
        <v>181391.09</v>
      </c>
      <c r="I299">
        <v>0</v>
      </c>
      <c r="J299">
        <v>69</v>
      </c>
      <c r="K299" t="s">
        <v>2558</v>
      </c>
    </row>
    <row r="300" spans="1:11">
      <c r="A300" t="s">
        <v>2614</v>
      </c>
      <c r="B300" t="s">
        <v>473</v>
      </c>
      <c r="C300" t="s">
        <v>2579</v>
      </c>
      <c r="D300" s="1">
        <v>46143</v>
      </c>
      <c r="E300" s="1">
        <v>46173</v>
      </c>
      <c r="F300">
        <v>419736.35</v>
      </c>
      <c r="G300" t="s">
        <v>2557</v>
      </c>
      <c r="H300">
        <v>419736.35</v>
      </c>
      <c r="I300">
        <v>0</v>
      </c>
      <c r="J300">
        <v>92</v>
      </c>
      <c r="K300" t="s">
        <v>2558</v>
      </c>
    </row>
    <row r="301" spans="1:11">
      <c r="A301" t="s">
        <v>2555</v>
      </c>
      <c r="B301" t="s">
        <v>1145</v>
      </c>
      <c r="C301" t="s">
        <v>2615</v>
      </c>
      <c r="D301" s="1">
        <v>46136</v>
      </c>
      <c r="E301" s="1">
        <v>46151</v>
      </c>
      <c r="F301">
        <v>20531.07</v>
      </c>
      <c r="G301" t="s">
        <v>2574</v>
      </c>
      <c r="H301">
        <v>20531.07</v>
      </c>
      <c r="I301">
        <v>0</v>
      </c>
      <c r="J301">
        <v>114</v>
      </c>
      <c r="K301" t="s">
        <v>2558</v>
      </c>
    </row>
    <row r="302" spans="1:11">
      <c r="A302" t="s">
        <v>2614</v>
      </c>
      <c r="B302" t="s">
        <v>475</v>
      </c>
      <c r="C302" t="s">
        <v>2600</v>
      </c>
      <c r="D302" s="1">
        <v>46143</v>
      </c>
      <c r="E302" s="1">
        <v>46173</v>
      </c>
      <c r="F302">
        <v>9796.35</v>
      </c>
      <c r="G302" t="s">
        <v>2568</v>
      </c>
      <c r="H302">
        <v>9796.35</v>
      </c>
      <c r="I302">
        <v>0</v>
      </c>
      <c r="J302">
        <v>92</v>
      </c>
      <c r="K302" t="s">
        <v>2558</v>
      </c>
    </row>
    <row r="303" spans="1:11">
      <c r="A303" t="s">
        <v>2555</v>
      </c>
      <c r="B303" t="s">
        <v>693</v>
      </c>
      <c r="C303" t="s">
        <v>2569</v>
      </c>
      <c r="D303" s="1">
        <v>46136</v>
      </c>
      <c r="E303" s="1">
        <v>46151</v>
      </c>
      <c r="F303">
        <v>67916.160000000003</v>
      </c>
      <c r="G303" t="s">
        <v>2557</v>
      </c>
      <c r="H303">
        <v>67916.160000000003</v>
      </c>
      <c r="I303">
        <v>0</v>
      </c>
      <c r="J303">
        <v>114</v>
      </c>
      <c r="K303" t="s">
        <v>2558</v>
      </c>
    </row>
    <row r="304" spans="1:11">
      <c r="A304" t="s">
        <v>2614</v>
      </c>
      <c r="B304" t="s">
        <v>477</v>
      </c>
      <c r="C304" t="s">
        <v>2612</v>
      </c>
      <c r="D304" s="1">
        <v>46150</v>
      </c>
      <c r="E304" s="1">
        <v>46180</v>
      </c>
      <c r="F304">
        <v>16946.830000000002</v>
      </c>
      <c r="G304" t="s">
        <v>2566</v>
      </c>
      <c r="H304">
        <v>16946.830000000002</v>
      </c>
      <c r="I304">
        <v>0</v>
      </c>
      <c r="J304">
        <v>85</v>
      </c>
      <c r="K304" t="s">
        <v>2558</v>
      </c>
    </row>
    <row r="305" spans="1:11">
      <c r="A305" t="s">
        <v>2555</v>
      </c>
      <c r="B305" t="s">
        <v>652</v>
      </c>
      <c r="C305" t="s">
        <v>2610</v>
      </c>
      <c r="D305" s="1">
        <v>46136</v>
      </c>
      <c r="E305" s="1">
        <v>46196</v>
      </c>
      <c r="F305">
        <v>155512.31</v>
      </c>
      <c r="G305" t="s">
        <v>2574</v>
      </c>
      <c r="H305">
        <v>155512.31</v>
      </c>
      <c r="I305">
        <v>0</v>
      </c>
      <c r="J305">
        <v>69</v>
      </c>
      <c r="K305" t="s">
        <v>2558</v>
      </c>
    </row>
    <row r="306" spans="1:11">
      <c r="A306" t="s">
        <v>2614</v>
      </c>
      <c r="B306" t="s">
        <v>479</v>
      </c>
      <c r="C306" t="s">
        <v>2580</v>
      </c>
      <c r="D306" s="1">
        <v>46157</v>
      </c>
      <c r="E306" s="1">
        <v>46172</v>
      </c>
      <c r="F306">
        <v>16397.07</v>
      </c>
      <c r="G306" t="s">
        <v>2557</v>
      </c>
      <c r="H306">
        <v>16397.07</v>
      </c>
      <c r="I306">
        <v>0</v>
      </c>
      <c r="J306">
        <v>93</v>
      </c>
      <c r="K306" t="s">
        <v>2558</v>
      </c>
    </row>
    <row r="307" spans="1:11">
      <c r="A307" t="s">
        <v>2555</v>
      </c>
      <c r="B307" t="s">
        <v>1071</v>
      </c>
      <c r="C307" t="s">
        <v>2612</v>
      </c>
      <c r="D307" s="1">
        <v>46136</v>
      </c>
      <c r="E307" s="1">
        <v>46166</v>
      </c>
      <c r="F307">
        <v>35044.58</v>
      </c>
      <c r="G307" t="s">
        <v>2566</v>
      </c>
      <c r="H307">
        <v>35044.58</v>
      </c>
      <c r="I307">
        <v>0</v>
      </c>
      <c r="J307">
        <v>99</v>
      </c>
      <c r="K307" t="s">
        <v>2558</v>
      </c>
    </row>
    <row r="308" spans="1:11">
      <c r="A308" t="s">
        <v>2555</v>
      </c>
      <c r="B308" t="s">
        <v>732</v>
      </c>
      <c r="C308" t="s">
        <v>2567</v>
      </c>
      <c r="D308" s="1">
        <v>46136</v>
      </c>
      <c r="E308" s="1">
        <v>46181</v>
      </c>
      <c r="F308">
        <v>37034.230000000003</v>
      </c>
      <c r="G308" t="s">
        <v>2568</v>
      </c>
      <c r="H308">
        <v>37034.230000000003</v>
      </c>
      <c r="I308">
        <v>0</v>
      </c>
      <c r="J308">
        <v>84</v>
      </c>
      <c r="K308" t="s">
        <v>2558</v>
      </c>
    </row>
    <row r="309" spans="1:11">
      <c r="A309" t="s">
        <v>2555</v>
      </c>
      <c r="B309" t="s">
        <v>579</v>
      </c>
      <c r="C309" t="s">
        <v>2567</v>
      </c>
      <c r="D309" s="1">
        <v>46136</v>
      </c>
      <c r="E309" s="1">
        <v>46181</v>
      </c>
      <c r="F309">
        <v>98827.04</v>
      </c>
      <c r="G309" t="s">
        <v>2568</v>
      </c>
      <c r="H309">
        <v>98827.04</v>
      </c>
      <c r="I309">
        <v>0</v>
      </c>
      <c r="J309">
        <v>84</v>
      </c>
      <c r="K309" t="s">
        <v>2558</v>
      </c>
    </row>
    <row r="310" spans="1:11">
      <c r="A310" t="s">
        <v>2555</v>
      </c>
      <c r="B310" t="s">
        <v>488</v>
      </c>
      <c r="C310" t="s">
        <v>2582</v>
      </c>
      <c r="D310" s="1">
        <v>46136</v>
      </c>
      <c r="E310" s="1">
        <v>46166</v>
      </c>
      <c r="F310">
        <v>109921.3</v>
      </c>
      <c r="G310" t="s">
        <v>2557</v>
      </c>
      <c r="H310">
        <v>109921.3</v>
      </c>
      <c r="I310">
        <v>0</v>
      </c>
      <c r="J310">
        <v>99</v>
      </c>
      <c r="K310" t="s">
        <v>2558</v>
      </c>
    </row>
    <row r="311" spans="1:11">
      <c r="A311" t="s">
        <v>2555</v>
      </c>
      <c r="B311" t="s">
        <v>490</v>
      </c>
      <c r="C311" t="s">
        <v>2573</v>
      </c>
      <c r="D311" s="1">
        <v>46137</v>
      </c>
      <c r="E311" s="1">
        <v>46167</v>
      </c>
      <c r="F311">
        <v>7653.42</v>
      </c>
      <c r="G311" t="s">
        <v>2574</v>
      </c>
      <c r="H311">
        <v>7653.42</v>
      </c>
      <c r="I311">
        <v>0</v>
      </c>
      <c r="J311">
        <v>98</v>
      </c>
      <c r="K311" t="s">
        <v>2558</v>
      </c>
    </row>
    <row r="312" spans="1:11">
      <c r="A312" t="s">
        <v>2555</v>
      </c>
      <c r="B312" t="s">
        <v>878</v>
      </c>
      <c r="C312" t="s">
        <v>2556</v>
      </c>
      <c r="D312" s="1">
        <v>46136</v>
      </c>
      <c r="E312" s="1">
        <v>46166</v>
      </c>
      <c r="F312">
        <v>99141.17</v>
      </c>
      <c r="G312" t="s">
        <v>2557</v>
      </c>
      <c r="H312">
        <v>99141.17</v>
      </c>
      <c r="I312">
        <v>0</v>
      </c>
      <c r="J312">
        <v>99</v>
      </c>
      <c r="K312" t="s">
        <v>2558</v>
      </c>
    </row>
    <row r="313" spans="1:11">
      <c r="A313" t="s">
        <v>2555</v>
      </c>
      <c r="B313" t="s">
        <v>492</v>
      </c>
      <c r="C313" t="s">
        <v>2623</v>
      </c>
      <c r="D313" s="1">
        <v>46140</v>
      </c>
      <c r="E313" s="1">
        <v>46170</v>
      </c>
      <c r="F313">
        <v>325077.46999999997</v>
      </c>
      <c r="G313" t="s">
        <v>2562</v>
      </c>
      <c r="H313">
        <v>325077.46999999997</v>
      </c>
      <c r="I313">
        <v>0</v>
      </c>
      <c r="J313">
        <v>95</v>
      </c>
      <c r="K313" t="s">
        <v>2558</v>
      </c>
    </row>
    <row r="314" spans="1:11">
      <c r="A314" t="s">
        <v>2555</v>
      </c>
      <c r="B314" t="s">
        <v>495</v>
      </c>
      <c r="C314" t="s">
        <v>2561</v>
      </c>
      <c r="D314" s="1">
        <v>46140</v>
      </c>
      <c r="E314" s="1">
        <v>46185</v>
      </c>
      <c r="F314">
        <v>1557510.67</v>
      </c>
      <c r="G314" t="s">
        <v>2562</v>
      </c>
      <c r="H314">
        <v>1557510.67</v>
      </c>
      <c r="I314">
        <v>0</v>
      </c>
      <c r="J314">
        <v>80</v>
      </c>
      <c r="K314" t="s">
        <v>2558</v>
      </c>
    </row>
    <row r="315" spans="1:11">
      <c r="A315" t="s">
        <v>2555</v>
      </c>
      <c r="B315" t="s">
        <v>1073</v>
      </c>
      <c r="C315" t="s">
        <v>2579</v>
      </c>
      <c r="D315" s="1">
        <v>46136</v>
      </c>
      <c r="E315" s="1">
        <v>46166</v>
      </c>
      <c r="F315">
        <v>90759.39</v>
      </c>
      <c r="G315" t="s">
        <v>2557</v>
      </c>
      <c r="H315">
        <v>90759.39</v>
      </c>
      <c r="I315">
        <v>0</v>
      </c>
      <c r="J315">
        <v>99</v>
      </c>
      <c r="K315" t="s">
        <v>2558</v>
      </c>
    </row>
    <row r="316" spans="1:11">
      <c r="A316" t="s">
        <v>2555</v>
      </c>
      <c r="B316" t="s">
        <v>497</v>
      </c>
      <c r="C316" t="s">
        <v>2598</v>
      </c>
      <c r="D316" s="1">
        <v>46140</v>
      </c>
      <c r="E316" s="1">
        <v>46170</v>
      </c>
      <c r="F316">
        <v>88213.32</v>
      </c>
      <c r="G316" t="s">
        <v>2566</v>
      </c>
      <c r="H316">
        <v>66408.319999999992</v>
      </c>
      <c r="I316">
        <v>21805</v>
      </c>
      <c r="J316">
        <v>95</v>
      </c>
      <c r="K316" t="s">
        <v>2563</v>
      </c>
    </row>
    <row r="317" spans="1:11">
      <c r="A317" t="s">
        <v>2614</v>
      </c>
      <c r="B317" t="s">
        <v>500</v>
      </c>
      <c r="C317" t="s">
        <v>2612</v>
      </c>
      <c r="D317" s="1">
        <v>46144</v>
      </c>
      <c r="E317" s="1">
        <v>46174</v>
      </c>
      <c r="F317">
        <v>41158.97</v>
      </c>
      <c r="G317" t="s">
        <v>2566</v>
      </c>
      <c r="H317">
        <v>41158.97</v>
      </c>
      <c r="I317">
        <v>0</v>
      </c>
      <c r="J317">
        <v>91</v>
      </c>
      <c r="K317" t="s">
        <v>2558</v>
      </c>
    </row>
    <row r="318" spans="1:11">
      <c r="A318" t="s">
        <v>2614</v>
      </c>
      <c r="B318" t="s">
        <v>503</v>
      </c>
      <c r="C318" t="s">
        <v>2593</v>
      </c>
      <c r="D318" s="1">
        <v>46153</v>
      </c>
      <c r="E318" s="1">
        <v>46183</v>
      </c>
      <c r="F318">
        <v>45357.13</v>
      </c>
      <c r="G318" t="s">
        <v>2574</v>
      </c>
      <c r="H318">
        <v>45357.13</v>
      </c>
      <c r="I318">
        <v>0</v>
      </c>
      <c r="J318">
        <v>82</v>
      </c>
      <c r="K318" t="s">
        <v>2558</v>
      </c>
    </row>
    <row r="319" spans="1:11">
      <c r="A319" t="s">
        <v>2555</v>
      </c>
      <c r="B319" t="s">
        <v>1511</v>
      </c>
      <c r="C319" t="s">
        <v>2610</v>
      </c>
      <c r="D319" s="1">
        <v>46137</v>
      </c>
      <c r="E319" s="1">
        <v>46197</v>
      </c>
      <c r="F319">
        <v>1445477.95</v>
      </c>
      <c r="G319" t="s">
        <v>2574</v>
      </c>
      <c r="H319">
        <v>1445477.95</v>
      </c>
      <c r="I319">
        <v>0</v>
      </c>
      <c r="J319">
        <v>68</v>
      </c>
      <c r="K319" t="s">
        <v>2558</v>
      </c>
    </row>
    <row r="320" spans="1:11">
      <c r="A320" t="s">
        <v>2614</v>
      </c>
      <c r="B320" t="s">
        <v>505</v>
      </c>
      <c r="C320" t="s">
        <v>2593</v>
      </c>
      <c r="D320" s="1">
        <v>46154</v>
      </c>
      <c r="E320" s="1">
        <v>46184</v>
      </c>
      <c r="F320">
        <v>5000</v>
      </c>
      <c r="G320" t="s">
        <v>2574</v>
      </c>
      <c r="H320">
        <v>5000</v>
      </c>
      <c r="I320">
        <v>0</v>
      </c>
      <c r="J320">
        <v>81</v>
      </c>
      <c r="K320" t="s">
        <v>2558</v>
      </c>
    </row>
    <row r="321" spans="1:11">
      <c r="A321" t="s">
        <v>2614</v>
      </c>
      <c r="B321" t="s">
        <v>507</v>
      </c>
      <c r="C321" t="s">
        <v>2593</v>
      </c>
      <c r="D321" s="1">
        <v>46157</v>
      </c>
      <c r="E321" s="1">
        <v>46187</v>
      </c>
      <c r="F321">
        <v>26833.61</v>
      </c>
      <c r="G321" t="s">
        <v>2574</v>
      </c>
      <c r="H321">
        <v>26833.61</v>
      </c>
      <c r="I321">
        <v>0</v>
      </c>
      <c r="J321">
        <v>78</v>
      </c>
      <c r="K321" t="s">
        <v>2558</v>
      </c>
    </row>
    <row r="322" spans="1:11">
      <c r="A322" t="s">
        <v>2614</v>
      </c>
      <c r="B322" t="s">
        <v>510</v>
      </c>
      <c r="C322" t="s">
        <v>2580</v>
      </c>
      <c r="D322" s="1">
        <v>46158</v>
      </c>
      <c r="E322" s="1">
        <v>46173</v>
      </c>
      <c r="F322">
        <v>38764.53</v>
      </c>
      <c r="G322" t="s">
        <v>2557</v>
      </c>
      <c r="H322">
        <v>38764.53</v>
      </c>
      <c r="I322">
        <v>0</v>
      </c>
      <c r="J322">
        <v>92</v>
      </c>
      <c r="K322" t="s">
        <v>2558</v>
      </c>
    </row>
    <row r="323" spans="1:11">
      <c r="A323" t="s">
        <v>2555</v>
      </c>
      <c r="B323" t="s">
        <v>528</v>
      </c>
      <c r="C323" t="s">
        <v>2623</v>
      </c>
      <c r="D323" s="1">
        <v>46137</v>
      </c>
      <c r="E323" s="1">
        <v>46167</v>
      </c>
      <c r="F323">
        <v>46988.3</v>
      </c>
      <c r="G323" t="s">
        <v>2562</v>
      </c>
      <c r="H323">
        <v>46988.3</v>
      </c>
      <c r="I323">
        <v>0</v>
      </c>
      <c r="J323">
        <v>98</v>
      </c>
      <c r="K323" t="s">
        <v>2558</v>
      </c>
    </row>
    <row r="324" spans="1:11">
      <c r="A324" t="s">
        <v>2555</v>
      </c>
      <c r="B324" t="s">
        <v>517</v>
      </c>
      <c r="C324" t="s">
        <v>2579</v>
      </c>
      <c r="D324" s="1">
        <v>46142</v>
      </c>
      <c r="E324" s="1">
        <v>46172</v>
      </c>
      <c r="F324">
        <v>625108.14</v>
      </c>
      <c r="G324" t="s">
        <v>2557</v>
      </c>
      <c r="H324">
        <v>625108.14</v>
      </c>
      <c r="I324">
        <v>0</v>
      </c>
      <c r="J324">
        <v>93</v>
      </c>
      <c r="K324" t="s">
        <v>2558</v>
      </c>
    </row>
    <row r="325" spans="1:11">
      <c r="A325" t="s">
        <v>2614</v>
      </c>
      <c r="B325" t="s">
        <v>519</v>
      </c>
      <c r="C325" t="s">
        <v>2570</v>
      </c>
      <c r="D325" s="1">
        <v>46155</v>
      </c>
      <c r="E325" s="1">
        <v>46185</v>
      </c>
      <c r="F325">
        <v>243616.13</v>
      </c>
      <c r="G325" t="s">
        <v>2557</v>
      </c>
      <c r="H325">
        <v>243616.13</v>
      </c>
      <c r="I325">
        <v>0</v>
      </c>
      <c r="J325">
        <v>80</v>
      </c>
      <c r="K325" t="s">
        <v>2558</v>
      </c>
    </row>
    <row r="326" spans="1:11">
      <c r="A326" t="s">
        <v>2614</v>
      </c>
      <c r="B326" t="s">
        <v>521</v>
      </c>
      <c r="C326" t="s">
        <v>2573</v>
      </c>
      <c r="D326" s="1">
        <v>46160</v>
      </c>
      <c r="E326" s="1">
        <v>46190</v>
      </c>
      <c r="F326">
        <v>18097.93</v>
      </c>
      <c r="G326" t="s">
        <v>2574</v>
      </c>
      <c r="H326">
        <v>18097.93</v>
      </c>
      <c r="I326">
        <v>0</v>
      </c>
      <c r="J326">
        <v>75</v>
      </c>
      <c r="K326" t="s">
        <v>2558</v>
      </c>
    </row>
    <row r="327" spans="1:11">
      <c r="A327" t="s">
        <v>2555</v>
      </c>
      <c r="B327" t="s">
        <v>542</v>
      </c>
      <c r="C327" t="s">
        <v>2587</v>
      </c>
      <c r="D327" s="1">
        <v>46137</v>
      </c>
      <c r="E327" s="1">
        <v>46197</v>
      </c>
      <c r="F327">
        <v>147261.79</v>
      </c>
      <c r="G327" t="s">
        <v>2568</v>
      </c>
      <c r="H327">
        <v>147261.79</v>
      </c>
      <c r="I327">
        <v>0</v>
      </c>
      <c r="J327">
        <v>68</v>
      </c>
      <c r="K327" t="s">
        <v>2558</v>
      </c>
    </row>
    <row r="328" spans="1:11">
      <c r="A328" t="s">
        <v>2555</v>
      </c>
      <c r="B328" t="s">
        <v>530</v>
      </c>
      <c r="C328" t="s">
        <v>2564</v>
      </c>
      <c r="D328" s="1">
        <v>46140</v>
      </c>
      <c r="E328" s="1">
        <v>46200</v>
      </c>
      <c r="F328">
        <v>566448.76</v>
      </c>
      <c r="G328" t="s">
        <v>2562</v>
      </c>
      <c r="H328">
        <v>566448.76</v>
      </c>
      <c r="I328">
        <v>0</v>
      </c>
      <c r="J328">
        <v>65</v>
      </c>
      <c r="K328" t="s">
        <v>2558</v>
      </c>
    </row>
    <row r="329" spans="1:11">
      <c r="A329" t="s">
        <v>2614</v>
      </c>
      <c r="B329" t="s">
        <v>533</v>
      </c>
      <c r="C329" t="s">
        <v>2570</v>
      </c>
      <c r="D329" s="1">
        <v>46151</v>
      </c>
      <c r="E329" s="1">
        <v>46181</v>
      </c>
      <c r="F329">
        <v>609840.86</v>
      </c>
      <c r="G329" t="s">
        <v>2557</v>
      </c>
      <c r="H329">
        <v>609840.86</v>
      </c>
      <c r="I329">
        <v>0</v>
      </c>
      <c r="J329">
        <v>84</v>
      </c>
      <c r="K329" t="s">
        <v>2558</v>
      </c>
    </row>
    <row r="330" spans="1:11">
      <c r="A330" t="s">
        <v>2555</v>
      </c>
      <c r="B330" t="s">
        <v>1292</v>
      </c>
      <c r="C330" t="s">
        <v>2585</v>
      </c>
      <c r="D330" s="1">
        <v>46138</v>
      </c>
      <c r="E330" s="1">
        <v>46168</v>
      </c>
      <c r="F330">
        <v>538113.97</v>
      </c>
      <c r="G330" t="s">
        <v>2562</v>
      </c>
      <c r="H330">
        <v>342714.56</v>
      </c>
      <c r="I330">
        <v>195399.41</v>
      </c>
      <c r="J330">
        <v>97</v>
      </c>
      <c r="K330" t="s">
        <v>2563</v>
      </c>
    </row>
    <row r="331" spans="1:11">
      <c r="A331" t="s">
        <v>2614</v>
      </c>
      <c r="B331" t="s">
        <v>535</v>
      </c>
      <c r="C331" t="s">
        <v>2600</v>
      </c>
      <c r="D331" s="1">
        <v>46159</v>
      </c>
      <c r="E331" s="1">
        <v>46189</v>
      </c>
      <c r="F331">
        <v>37323.97</v>
      </c>
      <c r="G331" t="s">
        <v>2568</v>
      </c>
      <c r="H331">
        <v>37323.97</v>
      </c>
      <c r="I331">
        <v>0</v>
      </c>
      <c r="J331">
        <v>76</v>
      </c>
      <c r="K331" t="s">
        <v>2558</v>
      </c>
    </row>
    <row r="332" spans="1:11">
      <c r="A332" t="s">
        <v>2555</v>
      </c>
      <c r="B332" t="s">
        <v>1090</v>
      </c>
      <c r="C332" t="s">
        <v>2573</v>
      </c>
      <c r="D332" s="1">
        <v>46138</v>
      </c>
      <c r="E332" s="1">
        <v>46168</v>
      </c>
      <c r="F332">
        <v>52036.55</v>
      </c>
      <c r="G332" t="s">
        <v>2574</v>
      </c>
      <c r="H332">
        <v>52036.55</v>
      </c>
      <c r="I332">
        <v>0</v>
      </c>
      <c r="J332">
        <v>97</v>
      </c>
      <c r="K332" t="s">
        <v>2558</v>
      </c>
    </row>
    <row r="333" spans="1:11">
      <c r="A333" t="s">
        <v>2555</v>
      </c>
      <c r="B333" t="s">
        <v>2626</v>
      </c>
      <c r="C333" t="s">
        <v>2611</v>
      </c>
      <c r="D333" s="1">
        <v>46138</v>
      </c>
      <c r="E333" s="1">
        <v>46183</v>
      </c>
      <c r="F333">
        <v>855873.6</v>
      </c>
      <c r="G333" t="s">
        <v>2566</v>
      </c>
      <c r="I333">
        <v>855873.6</v>
      </c>
      <c r="J333">
        <v>82</v>
      </c>
      <c r="K333" t="s">
        <v>2609</v>
      </c>
    </row>
    <row r="334" spans="1:11">
      <c r="A334" t="s">
        <v>2614</v>
      </c>
      <c r="B334" t="s">
        <v>544</v>
      </c>
      <c r="C334" t="s">
        <v>2579</v>
      </c>
      <c r="D334" s="1">
        <v>46143</v>
      </c>
      <c r="E334" s="1">
        <v>46173</v>
      </c>
      <c r="F334">
        <v>62907.08</v>
      </c>
      <c r="G334" t="s">
        <v>2557</v>
      </c>
      <c r="H334">
        <v>42470.17</v>
      </c>
      <c r="I334">
        <v>20436.91</v>
      </c>
      <c r="J334">
        <v>92</v>
      </c>
      <c r="K334" t="s">
        <v>2563</v>
      </c>
    </row>
    <row r="335" spans="1:11">
      <c r="A335" t="s">
        <v>2614</v>
      </c>
      <c r="B335" t="s">
        <v>544</v>
      </c>
      <c r="C335" t="s">
        <v>2579</v>
      </c>
      <c r="D335" s="1">
        <v>46143</v>
      </c>
      <c r="E335" s="1">
        <v>46173</v>
      </c>
      <c r="F335">
        <v>62907.08</v>
      </c>
      <c r="G335" t="s">
        <v>2557</v>
      </c>
      <c r="H335">
        <v>42470.17</v>
      </c>
      <c r="I335">
        <v>20436.91</v>
      </c>
      <c r="J335">
        <v>92</v>
      </c>
      <c r="K335" t="s">
        <v>2563</v>
      </c>
    </row>
    <row r="336" spans="1:11">
      <c r="A336" t="s">
        <v>2555</v>
      </c>
      <c r="B336" t="s">
        <v>1008</v>
      </c>
      <c r="C336" t="s">
        <v>2592</v>
      </c>
      <c r="D336" s="1">
        <v>46138</v>
      </c>
      <c r="E336" s="1">
        <v>46168</v>
      </c>
      <c r="F336">
        <v>63851.69</v>
      </c>
      <c r="G336" t="s">
        <v>2562</v>
      </c>
      <c r="H336">
        <v>63851.69</v>
      </c>
      <c r="I336">
        <v>0</v>
      </c>
      <c r="J336">
        <v>97</v>
      </c>
      <c r="K336" t="s">
        <v>2558</v>
      </c>
    </row>
    <row r="337" spans="1:11">
      <c r="A337" t="s">
        <v>2614</v>
      </c>
      <c r="B337" t="s">
        <v>546</v>
      </c>
      <c r="C337" t="s">
        <v>2594</v>
      </c>
      <c r="D337" s="1">
        <v>46154</v>
      </c>
      <c r="E337" s="1">
        <v>46184</v>
      </c>
      <c r="F337">
        <v>58690.27</v>
      </c>
      <c r="G337" t="s">
        <v>2557</v>
      </c>
      <c r="H337">
        <v>58690.27</v>
      </c>
      <c r="I337">
        <v>0</v>
      </c>
      <c r="J337">
        <v>81</v>
      </c>
      <c r="K337" t="s">
        <v>2558</v>
      </c>
    </row>
    <row r="338" spans="1:11">
      <c r="A338" t="s">
        <v>2614</v>
      </c>
      <c r="B338" t="s">
        <v>548</v>
      </c>
      <c r="C338" t="s">
        <v>2572</v>
      </c>
      <c r="D338" s="1">
        <v>46161</v>
      </c>
      <c r="E338" s="1">
        <v>46176</v>
      </c>
      <c r="F338">
        <v>24759.01</v>
      </c>
      <c r="G338" t="s">
        <v>2557</v>
      </c>
      <c r="H338">
        <v>24759.01</v>
      </c>
      <c r="I338">
        <v>0</v>
      </c>
      <c r="J338">
        <v>89</v>
      </c>
      <c r="K338" t="s">
        <v>2558</v>
      </c>
    </row>
    <row r="339" spans="1:11">
      <c r="A339" t="s">
        <v>2555</v>
      </c>
      <c r="B339" t="s">
        <v>635</v>
      </c>
      <c r="C339" t="s">
        <v>2561</v>
      </c>
      <c r="D339" s="1">
        <v>46138</v>
      </c>
      <c r="E339" s="1">
        <v>46183</v>
      </c>
      <c r="F339">
        <v>102781.27</v>
      </c>
      <c r="G339" t="s">
        <v>2562</v>
      </c>
      <c r="H339">
        <v>102781.27</v>
      </c>
      <c r="I339">
        <v>0</v>
      </c>
      <c r="J339">
        <v>82</v>
      </c>
      <c r="K339" t="s">
        <v>2558</v>
      </c>
    </row>
    <row r="340" spans="1:11">
      <c r="A340" t="s">
        <v>2555</v>
      </c>
      <c r="B340" t="s">
        <v>1207</v>
      </c>
      <c r="C340" t="s">
        <v>2556</v>
      </c>
      <c r="D340" s="1">
        <v>46138</v>
      </c>
      <c r="E340" s="1">
        <v>46168</v>
      </c>
      <c r="F340">
        <v>103674.34</v>
      </c>
      <c r="G340" t="s">
        <v>2557</v>
      </c>
      <c r="H340">
        <v>103674.34</v>
      </c>
      <c r="I340">
        <v>0</v>
      </c>
      <c r="J340">
        <v>97</v>
      </c>
      <c r="K340" t="s">
        <v>2558</v>
      </c>
    </row>
    <row r="341" spans="1:11">
      <c r="A341" t="s">
        <v>2555</v>
      </c>
      <c r="B341" t="s">
        <v>1768</v>
      </c>
      <c r="C341" t="s">
        <v>2583</v>
      </c>
      <c r="D341" s="1">
        <v>46138</v>
      </c>
      <c r="E341" s="1">
        <v>46198</v>
      </c>
      <c r="F341">
        <v>250625.44</v>
      </c>
      <c r="G341" t="s">
        <v>2562</v>
      </c>
      <c r="H341">
        <v>250625.44</v>
      </c>
      <c r="I341">
        <v>0</v>
      </c>
      <c r="J341">
        <v>67</v>
      </c>
      <c r="K341" t="s">
        <v>2558</v>
      </c>
    </row>
    <row r="342" spans="1:11">
      <c r="A342" t="s">
        <v>2555</v>
      </c>
      <c r="B342" t="s">
        <v>581</v>
      </c>
      <c r="C342" t="s">
        <v>2597</v>
      </c>
      <c r="D342" s="1">
        <v>46138</v>
      </c>
      <c r="E342" s="1">
        <v>46183</v>
      </c>
      <c r="F342">
        <v>122450.14</v>
      </c>
      <c r="G342" t="s">
        <v>2574</v>
      </c>
      <c r="H342">
        <v>122450.14</v>
      </c>
      <c r="I342">
        <v>0</v>
      </c>
      <c r="J342">
        <v>82</v>
      </c>
      <c r="K342" t="s">
        <v>2558</v>
      </c>
    </row>
    <row r="343" spans="1:11">
      <c r="A343" t="s">
        <v>2614</v>
      </c>
      <c r="B343" t="s">
        <v>559</v>
      </c>
      <c r="C343" t="s">
        <v>2582</v>
      </c>
      <c r="D343" s="1">
        <v>46155</v>
      </c>
      <c r="E343" s="1">
        <v>46185</v>
      </c>
      <c r="F343">
        <v>218343.87</v>
      </c>
      <c r="G343" t="s">
        <v>2557</v>
      </c>
      <c r="H343">
        <v>218343.87</v>
      </c>
      <c r="I343">
        <v>0</v>
      </c>
      <c r="J343">
        <v>80</v>
      </c>
      <c r="K343" t="s">
        <v>2558</v>
      </c>
    </row>
    <row r="344" spans="1:11">
      <c r="A344" t="s">
        <v>2555</v>
      </c>
      <c r="B344" t="s">
        <v>1010</v>
      </c>
      <c r="C344" t="s">
        <v>2570</v>
      </c>
      <c r="D344" s="1">
        <v>46139</v>
      </c>
      <c r="E344" s="1">
        <v>46169</v>
      </c>
      <c r="F344">
        <v>1628413</v>
      </c>
      <c r="G344" t="s">
        <v>2557</v>
      </c>
      <c r="H344">
        <v>1628413</v>
      </c>
      <c r="I344">
        <v>0</v>
      </c>
      <c r="J344">
        <v>96</v>
      </c>
      <c r="K344" t="s">
        <v>2558</v>
      </c>
    </row>
    <row r="345" spans="1:11">
      <c r="A345" t="s">
        <v>2614</v>
      </c>
      <c r="B345" t="s">
        <v>561</v>
      </c>
      <c r="C345" t="s">
        <v>2585</v>
      </c>
      <c r="D345" s="1">
        <v>46156</v>
      </c>
      <c r="E345" s="1">
        <v>46186</v>
      </c>
      <c r="F345">
        <v>176950.66</v>
      </c>
      <c r="G345" t="s">
        <v>2562</v>
      </c>
      <c r="H345">
        <v>176950.66</v>
      </c>
      <c r="I345">
        <v>0</v>
      </c>
      <c r="J345">
        <v>79</v>
      </c>
      <c r="K345" t="s">
        <v>2558</v>
      </c>
    </row>
    <row r="346" spans="1:11">
      <c r="A346" t="s">
        <v>2614</v>
      </c>
      <c r="B346" t="s">
        <v>563</v>
      </c>
      <c r="C346" t="s">
        <v>2565</v>
      </c>
      <c r="D346" s="1">
        <v>46160</v>
      </c>
      <c r="E346" s="1">
        <v>46175</v>
      </c>
      <c r="F346">
        <v>78205.259999999995</v>
      </c>
      <c r="G346" t="s">
        <v>2566</v>
      </c>
      <c r="H346">
        <v>78205.259999999995</v>
      </c>
      <c r="I346">
        <v>0</v>
      </c>
      <c r="J346">
        <v>90</v>
      </c>
      <c r="K346" t="s">
        <v>2558</v>
      </c>
    </row>
    <row r="347" spans="1:11">
      <c r="A347" t="s">
        <v>2614</v>
      </c>
      <c r="B347" t="s">
        <v>566</v>
      </c>
      <c r="C347" t="s">
        <v>2559</v>
      </c>
      <c r="D347" s="1">
        <v>46163</v>
      </c>
      <c r="E347" s="1">
        <v>46178</v>
      </c>
      <c r="F347">
        <v>506419.23</v>
      </c>
      <c r="G347" t="s">
        <v>2560</v>
      </c>
      <c r="H347">
        <v>506419.23</v>
      </c>
      <c r="I347">
        <v>0</v>
      </c>
      <c r="J347">
        <v>87</v>
      </c>
      <c r="K347" t="s">
        <v>2558</v>
      </c>
    </row>
    <row r="348" spans="1:11">
      <c r="A348" t="s">
        <v>2555</v>
      </c>
      <c r="B348" t="s">
        <v>2627</v>
      </c>
      <c r="C348" t="s">
        <v>2611</v>
      </c>
      <c r="D348" s="1">
        <v>46139</v>
      </c>
      <c r="E348" s="1">
        <v>46184</v>
      </c>
      <c r="F348">
        <v>774941.06</v>
      </c>
      <c r="G348" t="s">
        <v>2566</v>
      </c>
      <c r="I348">
        <v>774941.06</v>
      </c>
      <c r="J348">
        <v>81</v>
      </c>
      <c r="K348" t="s">
        <v>2609</v>
      </c>
    </row>
    <row r="349" spans="1:11">
      <c r="A349" t="s">
        <v>2614</v>
      </c>
      <c r="B349" t="s">
        <v>568</v>
      </c>
      <c r="C349" t="s">
        <v>2565</v>
      </c>
      <c r="D349" s="1">
        <v>46167</v>
      </c>
      <c r="E349" s="1">
        <v>46182</v>
      </c>
      <c r="F349">
        <v>28530.01</v>
      </c>
      <c r="G349" t="s">
        <v>2566</v>
      </c>
      <c r="H349">
        <v>28530.01</v>
      </c>
      <c r="I349">
        <v>0</v>
      </c>
      <c r="J349">
        <v>83</v>
      </c>
      <c r="K349" t="s">
        <v>2558</v>
      </c>
    </row>
    <row r="350" spans="1:11">
      <c r="A350" t="s">
        <v>2555</v>
      </c>
      <c r="B350" t="s">
        <v>809</v>
      </c>
      <c r="C350" t="s">
        <v>2573</v>
      </c>
      <c r="D350" s="1">
        <v>46139</v>
      </c>
      <c r="E350" s="1">
        <v>46169</v>
      </c>
      <c r="F350">
        <v>219741.5</v>
      </c>
      <c r="G350" t="s">
        <v>2574</v>
      </c>
      <c r="H350">
        <v>219741.5</v>
      </c>
      <c r="I350">
        <v>0</v>
      </c>
      <c r="J350">
        <v>96</v>
      </c>
      <c r="K350" t="s">
        <v>2558</v>
      </c>
    </row>
    <row r="351" spans="1:11">
      <c r="A351" t="s">
        <v>2614</v>
      </c>
      <c r="B351" t="s">
        <v>570</v>
      </c>
      <c r="C351" t="s">
        <v>2570</v>
      </c>
      <c r="D351" s="1">
        <v>46168</v>
      </c>
      <c r="E351" s="1">
        <v>46198</v>
      </c>
      <c r="F351">
        <v>246367.14</v>
      </c>
      <c r="G351" t="s">
        <v>2557</v>
      </c>
      <c r="H351">
        <v>246367.13999999998</v>
      </c>
      <c r="I351">
        <v>0</v>
      </c>
      <c r="J351">
        <v>67</v>
      </c>
      <c r="K351" t="s">
        <v>2558</v>
      </c>
    </row>
    <row r="352" spans="1:11">
      <c r="A352" t="s">
        <v>2555</v>
      </c>
      <c r="B352" t="s">
        <v>584</v>
      </c>
      <c r="C352" t="s">
        <v>2579</v>
      </c>
      <c r="D352" s="1">
        <v>46141</v>
      </c>
      <c r="E352" s="1">
        <v>46171</v>
      </c>
      <c r="F352">
        <v>30601.48</v>
      </c>
      <c r="G352" t="s">
        <v>2557</v>
      </c>
      <c r="H352">
        <v>30601.48</v>
      </c>
      <c r="I352">
        <v>0</v>
      </c>
      <c r="J352">
        <v>94</v>
      </c>
      <c r="K352" t="s">
        <v>2558</v>
      </c>
    </row>
    <row r="353" spans="1:11">
      <c r="A353" t="s">
        <v>2614</v>
      </c>
      <c r="B353" t="s">
        <v>586</v>
      </c>
      <c r="C353" t="s">
        <v>2612</v>
      </c>
      <c r="D353" s="1">
        <v>46146</v>
      </c>
      <c r="E353" s="1">
        <v>46176</v>
      </c>
      <c r="F353">
        <v>108277.02</v>
      </c>
      <c r="G353" t="s">
        <v>2566</v>
      </c>
      <c r="H353">
        <v>108277.02</v>
      </c>
      <c r="I353">
        <v>0</v>
      </c>
      <c r="J353">
        <v>89</v>
      </c>
      <c r="K353" t="s">
        <v>2558</v>
      </c>
    </row>
    <row r="354" spans="1:11">
      <c r="A354" t="s">
        <v>2614</v>
      </c>
      <c r="B354" t="s">
        <v>588</v>
      </c>
      <c r="C354" t="s">
        <v>2561</v>
      </c>
      <c r="D354" s="1">
        <v>46150</v>
      </c>
      <c r="E354" s="1">
        <v>46195</v>
      </c>
      <c r="F354">
        <v>711380.09</v>
      </c>
      <c r="G354" t="s">
        <v>2562</v>
      </c>
      <c r="H354">
        <v>711380.09</v>
      </c>
      <c r="I354">
        <v>0</v>
      </c>
      <c r="J354">
        <v>70</v>
      </c>
      <c r="K354" t="s">
        <v>2558</v>
      </c>
    </row>
    <row r="355" spans="1:11">
      <c r="A355" t="s">
        <v>2555</v>
      </c>
      <c r="B355" t="s">
        <v>1365</v>
      </c>
      <c r="C355" t="s">
        <v>2620</v>
      </c>
      <c r="D355" s="1">
        <v>46140</v>
      </c>
      <c r="E355" s="1">
        <v>46170</v>
      </c>
      <c r="F355">
        <v>127022.67</v>
      </c>
      <c r="G355" t="s">
        <v>2568</v>
      </c>
      <c r="H355">
        <v>127022.67</v>
      </c>
      <c r="I355">
        <v>0</v>
      </c>
      <c r="J355">
        <v>95</v>
      </c>
      <c r="K355" t="s">
        <v>2558</v>
      </c>
    </row>
    <row r="356" spans="1:11">
      <c r="A356" t="s">
        <v>2614</v>
      </c>
      <c r="B356" t="s">
        <v>590</v>
      </c>
      <c r="C356" t="s">
        <v>2575</v>
      </c>
      <c r="D356" s="1">
        <v>46151</v>
      </c>
      <c r="E356" s="1">
        <v>46166</v>
      </c>
      <c r="F356">
        <v>38570.660000000003</v>
      </c>
      <c r="G356" t="s">
        <v>2574</v>
      </c>
      <c r="H356">
        <v>38570.660000000003</v>
      </c>
      <c r="I356">
        <v>0</v>
      </c>
      <c r="J356">
        <v>99</v>
      </c>
      <c r="K356" t="s">
        <v>2558</v>
      </c>
    </row>
    <row r="357" spans="1:11">
      <c r="A357" t="s">
        <v>2555</v>
      </c>
      <c r="B357" t="s">
        <v>1012</v>
      </c>
      <c r="C357" t="s">
        <v>2569</v>
      </c>
      <c r="D357" s="1">
        <v>46140</v>
      </c>
      <c r="E357" s="1">
        <v>46155</v>
      </c>
      <c r="F357">
        <v>18865.080000000002</v>
      </c>
      <c r="G357" t="s">
        <v>2557</v>
      </c>
      <c r="H357">
        <v>18865.080000000002</v>
      </c>
      <c r="I357">
        <v>0</v>
      </c>
      <c r="J357">
        <v>110</v>
      </c>
      <c r="K357" t="s">
        <v>2558</v>
      </c>
    </row>
    <row r="358" spans="1:11">
      <c r="A358" t="s">
        <v>2614</v>
      </c>
      <c r="B358" t="s">
        <v>592</v>
      </c>
      <c r="C358" t="s">
        <v>2593</v>
      </c>
      <c r="D358" s="1">
        <v>46162</v>
      </c>
      <c r="E358" s="1">
        <v>46192</v>
      </c>
      <c r="F358">
        <v>43312.03</v>
      </c>
      <c r="G358" t="s">
        <v>2574</v>
      </c>
      <c r="H358">
        <v>17921.080000000002</v>
      </c>
      <c r="I358">
        <v>25390.95</v>
      </c>
      <c r="J358">
        <v>73</v>
      </c>
      <c r="K358" t="s">
        <v>2609</v>
      </c>
    </row>
    <row r="359" spans="1:11">
      <c r="A359" t="s">
        <v>2555</v>
      </c>
      <c r="B359" t="s">
        <v>924</v>
      </c>
      <c r="C359" t="s">
        <v>2585</v>
      </c>
      <c r="D359" s="1">
        <v>46140</v>
      </c>
      <c r="E359" s="1">
        <v>46170</v>
      </c>
      <c r="F359">
        <v>200270.59</v>
      </c>
      <c r="G359" t="s">
        <v>2562</v>
      </c>
      <c r="H359">
        <v>200270.59</v>
      </c>
      <c r="I359">
        <v>0</v>
      </c>
      <c r="J359">
        <v>95</v>
      </c>
      <c r="K359" t="s">
        <v>2558</v>
      </c>
    </row>
    <row r="360" spans="1:11">
      <c r="A360" t="s">
        <v>2555</v>
      </c>
      <c r="B360" t="s">
        <v>983</v>
      </c>
      <c r="C360" t="s">
        <v>2589</v>
      </c>
      <c r="D360" s="1">
        <v>46140</v>
      </c>
      <c r="E360" s="1">
        <v>46170</v>
      </c>
      <c r="F360">
        <v>17789.849999999999</v>
      </c>
      <c r="G360" t="s">
        <v>2568</v>
      </c>
      <c r="H360">
        <v>17789.849999999999</v>
      </c>
      <c r="I360">
        <v>0</v>
      </c>
      <c r="J360">
        <v>95</v>
      </c>
      <c r="K360" t="s">
        <v>2558</v>
      </c>
    </row>
    <row r="361" spans="1:11">
      <c r="A361" t="s">
        <v>2555</v>
      </c>
      <c r="B361" t="s">
        <v>2628</v>
      </c>
      <c r="C361" t="s">
        <v>2564</v>
      </c>
      <c r="D361" s="1">
        <v>46140</v>
      </c>
      <c r="E361" s="1">
        <v>46200</v>
      </c>
      <c r="F361">
        <v>164784.26</v>
      </c>
      <c r="G361" t="s">
        <v>2562</v>
      </c>
      <c r="I361">
        <v>164784.26</v>
      </c>
      <c r="J361">
        <v>65</v>
      </c>
      <c r="K361" t="s">
        <v>2609</v>
      </c>
    </row>
    <row r="362" spans="1:11">
      <c r="A362" t="s">
        <v>2555</v>
      </c>
      <c r="B362" t="s">
        <v>599</v>
      </c>
      <c r="C362" t="s">
        <v>2561</v>
      </c>
      <c r="D362" s="1">
        <v>46141</v>
      </c>
      <c r="E362" s="1">
        <v>46186</v>
      </c>
      <c r="F362">
        <v>192923.74</v>
      </c>
      <c r="G362" t="s">
        <v>2562</v>
      </c>
      <c r="H362">
        <v>54964</v>
      </c>
      <c r="I362">
        <v>137959.74</v>
      </c>
      <c r="J362">
        <v>79</v>
      </c>
      <c r="K362" t="s">
        <v>2609</v>
      </c>
    </row>
    <row r="363" spans="1:11">
      <c r="A363" t="s">
        <v>2614</v>
      </c>
      <c r="B363" t="s">
        <v>601</v>
      </c>
      <c r="C363" t="s">
        <v>2610</v>
      </c>
      <c r="D363" s="1">
        <v>46149</v>
      </c>
      <c r="E363" s="1">
        <v>46209</v>
      </c>
      <c r="F363">
        <v>87605.84</v>
      </c>
      <c r="G363" t="s">
        <v>2574</v>
      </c>
      <c r="H363">
        <v>87605.84</v>
      </c>
      <c r="I363">
        <v>0</v>
      </c>
      <c r="J363">
        <v>56</v>
      </c>
      <c r="K363" t="s">
        <v>2558</v>
      </c>
    </row>
    <row r="364" spans="1:11">
      <c r="A364" t="s">
        <v>2614</v>
      </c>
      <c r="B364" t="s">
        <v>603</v>
      </c>
      <c r="C364" t="s">
        <v>2619</v>
      </c>
      <c r="D364" s="1">
        <v>46154</v>
      </c>
      <c r="E364" s="1">
        <v>46184</v>
      </c>
      <c r="F364">
        <v>9196.1</v>
      </c>
      <c r="G364" t="s">
        <v>2560</v>
      </c>
      <c r="H364">
        <v>9196.1</v>
      </c>
      <c r="I364">
        <v>0</v>
      </c>
      <c r="J364">
        <v>81</v>
      </c>
      <c r="K364" t="s">
        <v>2558</v>
      </c>
    </row>
    <row r="365" spans="1:11">
      <c r="A365" t="s">
        <v>2614</v>
      </c>
      <c r="B365" t="s">
        <v>605</v>
      </c>
      <c r="C365" t="s">
        <v>2595</v>
      </c>
      <c r="D365" s="1">
        <v>46154</v>
      </c>
      <c r="E365" s="1">
        <v>46184</v>
      </c>
      <c r="F365">
        <v>41256.92</v>
      </c>
      <c r="G365" t="s">
        <v>2568</v>
      </c>
      <c r="H365">
        <v>41256.92</v>
      </c>
      <c r="I365">
        <v>0</v>
      </c>
      <c r="J365">
        <v>81</v>
      </c>
      <c r="K365" t="s">
        <v>2558</v>
      </c>
    </row>
    <row r="366" spans="1:11">
      <c r="A366" t="s">
        <v>2614</v>
      </c>
      <c r="B366" t="s">
        <v>607</v>
      </c>
      <c r="C366" t="s">
        <v>2573</v>
      </c>
      <c r="D366" s="1">
        <v>46157</v>
      </c>
      <c r="E366" s="1">
        <v>46187</v>
      </c>
      <c r="F366">
        <v>72866.47</v>
      </c>
      <c r="G366" t="s">
        <v>2574</v>
      </c>
      <c r="H366">
        <v>72866.47</v>
      </c>
      <c r="I366">
        <v>0</v>
      </c>
      <c r="J366">
        <v>78</v>
      </c>
      <c r="K366" t="s">
        <v>2558</v>
      </c>
    </row>
    <row r="367" spans="1:11">
      <c r="A367" t="s">
        <v>2555</v>
      </c>
      <c r="B367" t="s">
        <v>2629</v>
      </c>
      <c r="C367" t="s">
        <v>2582</v>
      </c>
      <c r="D367" s="1">
        <v>46141</v>
      </c>
      <c r="E367" s="1">
        <v>46171</v>
      </c>
      <c r="F367">
        <v>117329.19</v>
      </c>
      <c r="G367" t="s">
        <v>2557</v>
      </c>
      <c r="I367">
        <v>117329.19</v>
      </c>
      <c r="J367">
        <v>94</v>
      </c>
      <c r="K367" t="s">
        <v>2563</v>
      </c>
    </row>
    <row r="368" spans="1:11">
      <c r="A368" t="s">
        <v>2614</v>
      </c>
      <c r="B368" t="s">
        <v>612</v>
      </c>
      <c r="C368" t="s">
        <v>2620</v>
      </c>
      <c r="D368" s="1">
        <v>46146</v>
      </c>
      <c r="E368" s="1">
        <v>46176</v>
      </c>
      <c r="F368">
        <v>1147209.1100000001</v>
      </c>
      <c r="G368" t="s">
        <v>2568</v>
      </c>
      <c r="H368">
        <v>655936.48</v>
      </c>
      <c r="I368">
        <v>491272.63</v>
      </c>
      <c r="J368">
        <v>89</v>
      </c>
      <c r="K368" t="s">
        <v>2609</v>
      </c>
    </row>
    <row r="369" spans="1:11">
      <c r="A369" t="s">
        <v>2614</v>
      </c>
      <c r="B369" t="s">
        <v>614</v>
      </c>
      <c r="C369" t="s">
        <v>2595</v>
      </c>
      <c r="D369" s="1">
        <v>46150</v>
      </c>
      <c r="E369" s="1">
        <v>46180</v>
      </c>
      <c r="F369">
        <v>336349.29</v>
      </c>
      <c r="G369" t="s">
        <v>2568</v>
      </c>
      <c r="H369">
        <v>336349.29</v>
      </c>
      <c r="I369">
        <v>0</v>
      </c>
      <c r="J369">
        <v>85</v>
      </c>
      <c r="K369" t="s">
        <v>2558</v>
      </c>
    </row>
    <row r="370" spans="1:11">
      <c r="A370" t="s">
        <v>2614</v>
      </c>
      <c r="B370" t="s">
        <v>616</v>
      </c>
      <c r="C370" t="s">
        <v>2608</v>
      </c>
      <c r="D370" s="1">
        <v>46159</v>
      </c>
      <c r="E370" s="1">
        <v>46204</v>
      </c>
      <c r="F370">
        <v>386325.93</v>
      </c>
      <c r="G370" t="s">
        <v>2560</v>
      </c>
      <c r="H370">
        <v>386325.93</v>
      </c>
      <c r="I370">
        <v>0</v>
      </c>
      <c r="J370">
        <v>61</v>
      </c>
      <c r="K370" t="s">
        <v>2558</v>
      </c>
    </row>
    <row r="371" spans="1:11">
      <c r="A371" t="s">
        <v>2555</v>
      </c>
      <c r="B371" t="s">
        <v>2630</v>
      </c>
      <c r="C371" t="s">
        <v>2582</v>
      </c>
      <c r="D371" s="1">
        <v>46141</v>
      </c>
      <c r="E371" s="1">
        <v>46171</v>
      </c>
      <c r="F371">
        <v>37808.49</v>
      </c>
      <c r="G371" t="s">
        <v>2557</v>
      </c>
      <c r="I371">
        <v>37808.49</v>
      </c>
      <c r="J371">
        <v>94</v>
      </c>
      <c r="K371" t="s">
        <v>2563</v>
      </c>
    </row>
    <row r="372" spans="1:11">
      <c r="A372" t="s">
        <v>2614</v>
      </c>
      <c r="B372" t="s">
        <v>618</v>
      </c>
      <c r="C372" t="s">
        <v>2616</v>
      </c>
      <c r="D372" s="1">
        <v>46162</v>
      </c>
      <c r="E372" s="1">
        <v>46177</v>
      </c>
      <c r="F372">
        <v>16221.98</v>
      </c>
      <c r="G372" t="s">
        <v>2560</v>
      </c>
      <c r="H372">
        <v>16221.98</v>
      </c>
      <c r="I372">
        <v>0</v>
      </c>
      <c r="J372">
        <v>88</v>
      </c>
      <c r="K372" t="s">
        <v>2558</v>
      </c>
    </row>
    <row r="373" spans="1:11">
      <c r="A373" t="s">
        <v>2555</v>
      </c>
      <c r="B373" t="s">
        <v>766</v>
      </c>
      <c r="C373" t="s">
        <v>2592</v>
      </c>
      <c r="D373" s="1">
        <v>46141</v>
      </c>
      <c r="E373" s="1">
        <v>46171</v>
      </c>
      <c r="F373">
        <v>6266.77</v>
      </c>
      <c r="G373" t="s">
        <v>2562</v>
      </c>
      <c r="H373">
        <v>6266.77</v>
      </c>
      <c r="I373">
        <v>0</v>
      </c>
      <c r="J373">
        <v>94</v>
      </c>
      <c r="K373" t="s">
        <v>2558</v>
      </c>
    </row>
    <row r="374" spans="1:11">
      <c r="A374" t="s">
        <v>2614</v>
      </c>
      <c r="B374" t="s">
        <v>620</v>
      </c>
      <c r="C374" t="s">
        <v>2580</v>
      </c>
      <c r="D374" s="1">
        <v>46168</v>
      </c>
      <c r="E374" s="1">
        <v>46183</v>
      </c>
      <c r="F374">
        <v>38153.14</v>
      </c>
      <c r="G374" t="s">
        <v>2557</v>
      </c>
      <c r="H374">
        <v>38153.14</v>
      </c>
      <c r="I374">
        <v>0</v>
      </c>
      <c r="J374">
        <v>82</v>
      </c>
      <c r="K374" t="s">
        <v>2558</v>
      </c>
    </row>
    <row r="375" spans="1:11">
      <c r="A375" t="s">
        <v>2614</v>
      </c>
      <c r="B375" t="s">
        <v>622</v>
      </c>
      <c r="C375" t="s">
        <v>2559</v>
      </c>
      <c r="D375" s="1">
        <v>46169</v>
      </c>
      <c r="E375" s="1">
        <v>46184</v>
      </c>
      <c r="F375">
        <v>88761.600000000006</v>
      </c>
      <c r="G375" t="s">
        <v>2560</v>
      </c>
      <c r="H375">
        <v>88761.600000000006</v>
      </c>
      <c r="I375">
        <v>0</v>
      </c>
      <c r="J375">
        <v>81</v>
      </c>
      <c r="K375" t="s">
        <v>2558</v>
      </c>
    </row>
    <row r="376" spans="1:11">
      <c r="A376" t="s">
        <v>2631</v>
      </c>
      <c r="B376" t="s">
        <v>624</v>
      </c>
      <c r="C376" t="s">
        <v>2612</v>
      </c>
      <c r="D376" s="1">
        <v>46175</v>
      </c>
      <c r="E376" s="1">
        <v>46205</v>
      </c>
      <c r="F376">
        <v>19219.68</v>
      </c>
      <c r="G376" t="s">
        <v>2566</v>
      </c>
      <c r="H376">
        <v>19219.68</v>
      </c>
      <c r="I376">
        <v>0</v>
      </c>
      <c r="J376">
        <v>60</v>
      </c>
      <c r="K376" t="s">
        <v>2558</v>
      </c>
    </row>
    <row r="377" spans="1:11">
      <c r="A377" t="s">
        <v>2631</v>
      </c>
      <c r="B377" t="s">
        <v>626</v>
      </c>
      <c r="C377" t="s">
        <v>2615</v>
      </c>
      <c r="D377" s="1">
        <v>46175</v>
      </c>
      <c r="E377" s="1">
        <v>46190</v>
      </c>
      <c r="F377">
        <v>51273.8</v>
      </c>
      <c r="G377" t="s">
        <v>2574</v>
      </c>
      <c r="H377">
        <v>19898.36</v>
      </c>
      <c r="I377">
        <v>31375.439999999999</v>
      </c>
      <c r="J377">
        <v>75</v>
      </c>
      <c r="K377" t="s">
        <v>2609</v>
      </c>
    </row>
    <row r="378" spans="1:11">
      <c r="A378" t="s">
        <v>2555</v>
      </c>
      <c r="B378" t="s">
        <v>637</v>
      </c>
      <c r="C378" t="s">
        <v>2564</v>
      </c>
      <c r="D378" s="1">
        <v>46141</v>
      </c>
      <c r="E378" s="1">
        <v>46201</v>
      </c>
      <c r="F378">
        <v>1294923.4099999999</v>
      </c>
      <c r="G378" t="s">
        <v>2562</v>
      </c>
      <c r="H378">
        <v>1294923.4099999999</v>
      </c>
      <c r="I378">
        <v>0</v>
      </c>
      <c r="J378">
        <v>64</v>
      </c>
      <c r="K378" t="s">
        <v>2558</v>
      </c>
    </row>
    <row r="379" spans="1:11">
      <c r="A379" t="s">
        <v>2555</v>
      </c>
      <c r="B379" t="s">
        <v>2632</v>
      </c>
      <c r="C379" t="s">
        <v>2612</v>
      </c>
      <c r="D379" s="1">
        <v>46141</v>
      </c>
      <c r="E379" s="1">
        <v>46171</v>
      </c>
      <c r="F379">
        <v>73609.86</v>
      </c>
      <c r="G379" t="s">
        <v>2566</v>
      </c>
      <c r="I379">
        <v>73609.86</v>
      </c>
      <c r="J379">
        <v>94</v>
      </c>
      <c r="K379" t="s">
        <v>2563</v>
      </c>
    </row>
    <row r="380" spans="1:11">
      <c r="A380" t="s">
        <v>2555</v>
      </c>
      <c r="B380" t="s">
        <v>2633</v>
      </c>
      <c r="C380" t="s">
        <v>2611</v>
      </c>
      <c r="D380" s="1">
        <v>46141</v>
      </c>
      <c r="E380" s="1">
        <v>46186</v>
      </c>
      <c r="F380">
        <v>161469.96</v>
      </c>
      <c r="G380" t="s">
        <v>2566</v>
      </c>
      <c r="I380">
        <v>161469.96</v>
      </c>
      <c r="J380">
        <v>79</v>
      </c>
      <c r="K380" t="s">
        <v>2609</v>
      </c>
    </row>
    <row r="381" spans="1:11">
      <c r="A381" t="s">
        <v>2614</v>
      </c>
      <c r="B381" t="s">
        <v>639</v>
      </c>
      <c r="C381" t="s">
        <v>2582</v>
      </c>
      <c r="D381" s="1">
        <v>46159</v>
      </c>
      <c r="E381" s="1">
        <v>46189</v>
      </c>
      <c r="F381">
        <v>237230.16</v>
      </c>
      <c r="G381" t="s">
        <v>2557</v>
      </c>
      <c r="H381">
        <v>237230.16000000003</v>
      </c>
      <c r="I381">
        <v>0</v>
      </c>
      <c r="J381">
        <v>76</v>
      </c>
      <c r="K381" t="s">
        <v>2558</v>
      </c>
    </row>
    <row r="382" spans="1:11">
      <c r="A382" t="s">
        <v>2555</v>
      </c>
      <c r="B382" t="s">
        <v>2109</v>
      </c>
      <c r="C382" t="s">
        <v>2602</v>
      </c>
      <c r="D382" s="1">
        <v>46142</v>
      </c>
      <c r="E382" s="1">
        <v>46202</v>
      </c>
      <c r="F382">
        <v>279756.88</v>
      </c>
      <c r="G382" t="s">
        <v>2562</v>
      </c>
      <c r="H382">
        <v>279756.88</v>
      </c>
      <c r="I382">
        <v>0</v>
      </c>
      <c r="J382">
        <v>63</v>
      </c>
      <c r="K382" t="s">
        <v>2558</v>
      </c>
    </row>
    <row r="383" spans="1:11">
      <c r="A383" t="s">
        <v>2614</v>
      </c>
      <c r="B383" t="s">
        <v>641</v>
      </c>
      <c r="C383" t="s">
        <v>2607</v>
      </c>
      <c r="D383" s="1">
        <v>46159</v>
      </c>
      <c r="E383" s="1">
        <v>46189</v>
      </c>
      <c r="F383">
        <v>136322.79</v>
      </c>
      <c r="G383" t="s">
        <v>2562</v>
      </c>
      <c r="H383">
        <v>136322.79</v>
      </c>
      <c r="I383">
        <v>0</v>
      </c>
      <c r="J383">
        <v>76</v>
      </c>
      <c r="K383" t="s">
        <v>2558</v>
      </c>
    </row>
    <row r="384" spans="1:11">
      <c r="A384" t="s">
        <v>2614</v>
      </c>
      <c r="B384" t="s">
        <v>643</v>
      </c>
      <c r="C384" t="s">
        <v>2616</v>
      </c>
      <c r="D384" s="1">
        <v>46163</v>
      </c>
      <c r="E384" s="1">
        <v>46178</v>
      </c>
      <c r="F384">
        <v>17355.169999999998</v>
      </c>
      <c r="G384" t="s">
        <v>2560</v>
      </c>
      <c r="H384">
        <v>17355.169999999998</v>
      </c>
      <c r="I384">
        <v>0</v>
      </c>
      <c r="J384">
        <v>87</v>
      </c>
      <c r="K384" t="s">
        <v>2558</v>
      </c>
    </row>
    <row r="385" spans="1:11">
      <c r="A385" t="s">
        <v>2614</v>
      </c>
      <c r="B385" t="s">
        <v>645</v>
      </c>
      <c r="C385" t="s">
        <v>2580</v>
      </c>
      <c r="D385" s="1">
        <v>46167</v>
      </c>
      <c r="E385" s="1">
        <v>46182</v>
      </c>
      <c r="F385">
        <v>236447.9</v>
      </c>
      <c r="G385" t="s">
        <v>2557</v>
      </c>
      <c r="H385">
        <v>236447.9</v>
      </c>
      <c r="I385">
        <v>0</v>
      </c>
      <c r="J385">
        <v>83</v>
      </c>
      <c r="K385" t="s">
        <v>2558</v>
      </c>
    </row>
    <row r="386" spans="1:11">
      <c r="A386" t="s">
        <v>2614</v>
      </c>
      <c r="B386" t="s">
        <v>648</v>
      </c>
      <c r="C386" t="s">
        <v>2588</v>
      </c>
      <c r="D386" s="1">
        <v>46172</v>
      </c>
      <c r="E386" s="1">
        <v>46202</v>
      </c>
      <c r="F386">
        <v>342786.01</v>
      </c>
      <c r="G386" t="s">
        <v>2562</v>
      </c>
      <c r="H386">
        <v>169497.53</v>
      </c>
      <c r="I386">
        <v>173288.48</v>
      </c>
      <c r="J386">
        <v>63</v>
      </c>
      <c r="K386" t="s">
        <v>2609</v>
      </c>
    </row>
    <row r="387" spans="1:11">
      <c r="A387" t="s">
        <v>2614</v>
      </c>
      <c r="B387" t="s">
        <v>655</v>
      </c>
      <c r="C387" t="s">
        <v>2583</v>
      </c>
      <c r="D387" s="1">
        <v>46145</v>
      </c>
      <c r="E387" s="1">
        <v>46205</v>
      </c>
      <c r="F387">
        <v>152188.01</v>
      </c>
      <c r="G387" t="s">
        <v>2562</v>
      </c>
      <c r="H387">
        <v>152188.01</v>
      </c>
      <c r="I387">
        <v>0</v>
      </c>
      <c r="J387">
        <v>60</v>
      </c>
      <c r="K387" t="s">
        <v>2558</v>
      </c>
    </row>
    <row r="388" spans="1:11">
      <c r="A388" t="s">
        <v>2614</v>
      </c>
      <c r="B388" t="s">
        <v>657</v>
      </c>
      <c r="C388" t="s">
        <v>2571</v>
      </c>
      <c r="D388" s="1">
        <v>46154</v>
      </c>
      <c r="E388" s="1">
        <v>46199</v>
      </c>
      <c r="F388">
        <v>399908.67</v>
      </c>
      <c r="G388" t="s">
        <v>2568</v>
      </c>
      <c r="H388">
        <v>399908.67000000004</v>
      </c>
      <c r="I388">
        <v>0</v>
      </c>
      <c r="J388">
        <v>66</v>
      </c>
      <c r="K388" t="s">
        <v>2558</v>
      </c>
    </row>
    <row r="389" spans="1:11">
      <c r="A389" t="s">
        <v>2614</v>
      </c>
      <c r="B389" t="s">
        <v>659</v>
      </c>
      <c r="C389" t="s">
        <v>2595</v>
      </c>
      <c r="D389" s="1">
        <v>46157</v>
      </c>
      <c r="E389" s="1">
        <v>46187</v>
      </c>
      <c r="F389">
        <v>71059.240000000005</v>
      </c>
      <c r="G389" t="s">
        <v>2568</v>
      </c>
      <c r="H389">
        <v>71059.240000000005</v>
      </c>
      <c r="I389">
        <v>0</v>
      </c>
      <c r="J389">
        <v>78</v>
      </c>
      <c r="K389" t="s">
        <v>2558</v>
      </c>
    </row>
    <row r="390" spans="1:11">
      <c r="A390" t="s">
        <v>2614</v>
      </c>
      <c r="B390" t="s">
        <v>661</v>
      </c>
      <c r="C390" t="s">
        <v>2570</v>
      </c>
      <c r="D390" s="1">
        <v>46166</v>
      </c>
      <c r="E390" s="1">
        <v>46196</v>
      </c>
      <c r="F390">
        <v>64767.94</v>
      </c>
      <c r="G390" t="s">
        <v>2557</v>
      </c>
      <c r="H390">
        <v>55008.9</v>
      </c>
      <c r="I390">
        <v>9759.0400000000009</v>
      </c>
      <c r="J390">
        <v>69</v>
      </c>
      <c r="K390" t="s">
        <v>2609</v>
      </c>
    </row>
    <row r="391" spans="1:11">
      <c r="A391" t="s">
        <v>2614</v>
      </c>
      <c r="B391" t="s">
        <v>665</v>
      </c>
      <c r="C391" t="s">
        <v>2581</v>
      </c>
      <c r="D391" s="1">
        <v>46170</v>
      </c>
      <c r="E391" s="1">
        <v>46185</v>
      </c>
      <c r="F391">
        <v>12313.21</v>
      </c>
      <c r="G391" t="s">
        <v>2562</v>
      </c>
      <c r="H391">
        <v>12313.21</v>
      </c>
      <c r="I391">
        <v>0</v>
      </c>
      <c r="J391">
        <v>80</v>
      </c>
      <c r="K391" t="s">
        <v>2558</v>
      </c>
    </row>
    <row r="392" spans="1:11">
      <c r="A392" t="s">
        <v>2614</v>
      </c>
      <c r="B392" t="s">
        <v>671</v>
      </c>
      <c r="C392" t="s">
        <v>2573</v>
      </c>
      <c r="D392" s="1">
        <v>46144</v>
      </c>
      <c r="E392" s="1">
        <v>46174</v>
      </c>
      <c r="F392">
        <v>26574.880000000001</v>
      </c>
      <c r="G392" t="s">
        <v>2574</v>
      </c>
      <c r="H392">
        <v>26574.880000000001</v>
      </c>
      <c r="I392">
        <v>0</v>
      </c>
      <c r="J392">
        <v>91</v>
      </c>
      <c r="K392" t="s">
        <v>2558</v>
      </c>
    </row>
    <row r="393" spans="1:11">
      <c r="A393" t="s">
        <v>2614</v>
      </c>
      <c r="B393" t="s">
        <v>768</v>
      </c>
      <c r="C393" t="s">
        <v>2564</v>
      </c>
      <c r="D393" s="1">
        <v>46144</v>
      </c>
      <c r="E393" s="1">
        <v>46204</v>
      </c>
      <c r="F393">
        <v>223127.7</v>
      </c>
      <c r="G393" t="s">
        <v>2562</v>
      </c>
      <c r="H393">
        <v>223127.7</v>
      </c>
      <c r="I393">
        <v>0</v>
      </c>
      <c r="J393">
        <v>61</v>
      </c>
      <c r="K393" t="s">
        <v>2558</v>
      </c>
    </row>
    <row r="394" spans="1:11">
      <c r="A394" t="s">
        <v>2614</v>
      </c>
      <c r="B394" t="s">
        <v>673</v>
      </c>
      <c r="C394" t="s">
        <v>2561</v>
      </c>
      <c r="D394" s="1">
        <v>46146</v>
      </c>
      <c r="E394" s="1">
        <v>46191</v>
      </c>
      <c r="F394">
        <v>573914.59</v>
      </c>
      <c r="G394" t="s">
        <v>2562</v>
      </c>
      <c r="H394">
        <v>573914.59</v>
      </c>
      <c r="I394">
        <v>0</v>
      </c>
      <c r="J394">
        <v>74</v>
      </c>
      <c r="K394" t="s">
        <v>2558</v>
      </c>
    </row>
    <row r="395" spans="1:11">
      <c r="A395" t="s">
        <v>2614</v>
      </c>
      <c r="B395" t="s">
        <v>675</v>
      </c>
      <c r="C395" t="s">
        <v>2602</v>
      </c>
      <c r="D395" s="1">
        <v>46149</v>
      </c>
      <c r="E395" s="1">
        <v>46209</v>
      </c>
      <c r="F395">
        <v>360816.52</v>
      </c>
      <c r="G395" t="s">
        <v>2562</v>
      </c>
      <c r="H395">
        <v>360816.52</v>
      </c>
      <c r="I395">
        <v>0</v>
      </c>
      <c r="J395">
        <v>56</v>
      </c>
      <c r="K395" t="s">
        <v>2558</v>
      </c>
    </row>
    <row r="396" spans="1:11">
      <c r="A396" t="s">
        <v>2614</v>
      </c>
      <c r="B396" t="s">
        <v>677</v>
      </c>
      <c r="C396" t="s">
        <v>2598</v>
      </c>
      <c r="D396" s="1">
        <v>46155</v>
      </c>
      <c r="E396" s="1">
        <v>46185</v>
      </c>
      <c r="F396">
        <v>369787.78</v>
      </c>
      <c r="G396" t="s">
        <v>2566</v>
      </c>
      <c r="H396">
        <v>369787.78</v>
      </c>
      <c r="I396">
        <v>0</v>
      </c>
      <c r="J396">
        <v>80</v>
      </c>
      <c r="K396" t="s">
        <v>2558</v>
      </c>
    </row>
    <row r="397" spans="1:11">
      <c r="A397" t="s">
        <v>2614</v>
      </c>
      <c r="B397" t="s">
        <v>2177</v>
      </c>
      <c r="C397" t="s">
        <v>2583</v>
      </c>
      <c r="D397" s="1">
        <v>46144</v>
      </c>
      <c r="E397" s="1">
        <v>46204</v>
      </c>
      <c r="F397">
        <v>66351.39</v>
      </c>
      <c r="G397" t="s">
        <v>2562</v>
      </c>
      <c r="H397">
        <v>66351.39</v>
      </c>
      <c r="I397">
        <v>0</v>
      </c>
      <c r="J397">
        <v>61</v>
      </c>
      <c r="K397" t="s">
        <v>2558</v>
      </c>
    </row>
    <row r="398" spans="1:11">
      <c r="A398" t="s">
        <v>2614</v>
      </c>
      <c r="B398" t="s">
        <v>679</v>
      </c>
      <c r="C398" t="s">
        <v>2561</v>
      </c>
      <c r="D398" s="1">
        <v>46160</v>
      </c>
      <c r="E398" s="1">
        <v>46205</v>
      </c>
      <c r="F398">
        <v>191840.4</v>
      </c>
      <c r="G398" t="s">
        <v>2562</v>
      </c>
      <c r="H398">
        <v>302335.93</v>
      </c>
      <c r="I398">
        <v>-110495.53</v>
      </c>
      <c r="J398">
        <v>60</v>
      </c>
      <c r="K398" t="s">
        <v>2558</v>
      </c>
    </row>
    <row r="399" spans="1:11">
      <c r="A399" t="s">
        <v>2614</v>
      </c>
      <c r="B399" t="s">
        <v>683</v>
      </c>
      <c r="C399" t="s">
        <v>2593</v>
      </c>
      <c r="D399" s="1">
        <v>46160</v>
      </c>
      <c r="E399" s="1">
        <v>46190</v>
      </c>
      <c r="F399">
        <v>25528.31</v>
      </c>
      <c r="G399" t="s">
        <v>2574</v>
      </c>
      <c r="H399">
        <v>25528.31</v>
      </c>
      <c r="I399">
        <v>0</v>
      </c>
      <c r="J399">
        <v>75</v>
      </c>
      <c r="K399" t="s">
        <v>2558</v>
      </c>
    </row>
    <row r="400" spans="1:11">
      <c r="A400" t="s">
        <v>2614</v>
      </c>
      <c r="B400" t="s">
        <v>685</v>
      </c>
      <c r="C400" t="s">
        <v>2580</v>
      </c>
      <c r="D400" s="1">
        <v>46166</v>
      </c>
      <c r="E400" s="1">
        <v>46181</v>
      </c>
      <c r="F400">
        <v>13505.42</v>
      </c>
      <c r="G400" t="s">
        <v>2557</v>
      </c>
      <c r="H400">
        <v>13505.42</v>
      </c>
      <c r="I400">
        <v>0</v>
      </c>
      <c r="J400">
        <v>84</v>
      </c>
      <c r="K400" t="s">
        <v>2558</v>
      </c>
    </row>
    <row r="401" spans="1:11">
      <c r="A401" t="s">
        <v>2614</v>
      </c>
      <c r="B401" t="s">
        <v>687</v>
      </c>
      <c r="C401" t="s">
        <v>2582</v>
      </c>
      <c r="D401" s="1">
        <v>46169</v>
      </c>
      <c r="E401" s="1">
        <v>46199</v>
      </c>
      <c r="F401">
        <v>141860.72</v>
      </c>
      <c r="G401" t="s">
        <v>2557</v>
      </c>
      <c r="H401">
        <v>141860.72</v>
      </c>
      <c r="I401">
        <v>0</v>
      </c>
      <c r="J401">
        <v>66</v>
      </c>
      <c r="K401" t="s">
        <v>2558</v>
      </c>
    </row>
    <row r="402" spans="1:11">
      <c r="A402" t="s">
        <v>2614</v>
      </c>
      <c r="B402" t="s">
        <v>689</v>
      </c>
      <c r="C402" t="s">
        <v>2559</v>
      </c>
      <c r="D402" s="1">
        <v>46169</v>
      </c>
      <c r="E402" s="1">
        <v>46184</v>
      </c>
      <c r="F402">
        <v>35377</v>
      </c>
      <c r="G402" t="s">
        <v>2560</v>
      </c>
      <c r="H402">
        <v>35377</v>
      </c>
      <c r="I402">
        <v>0</v>
      </c>
      <c r="J402">
        <v>81</v>
      </c>
      <c r="K402" t="s">
        <v>2558</v>
      </c>
    </row>
    <row r="403" spans="1:11">
      <c r="A403" t="s">
        <v>2614</v>
      </c>
      <c r="B403" t="s">
        <v>812</v>
      </c>
      <c r="C403" t="s">
        <v>2583</v>
      </c>
      <c r="D403" s="1">
        <v>46145</v>
      </c>
      <c r="E403" s="1">
        <v>46205</v>
      </c>
      <c r="F403">
        <v>235026.79</v>
      </c>
      <c r="G403" t="s">
        <v>2562</v>
      </c>
      <c r="H403">
        <v>235026.79</v>
      </c>
      <c r="I403">
        <v>0</v>
      </c>
      <c r="J403">
        <v>60</v>
      </c>
      <c r="K403" t="s">
        <v>2558</v>
      </c>
    </row>
    <row r="404" spans="1:11">
      <c r="A404" t="s">
        <v>2614</v>
      </c>
      <c r="B404" t="s">
        <v>691</v>
      </c>
      <c r="C404" t="s">
        <v>2575</v>
      </c>
      <c r="D404" s="1">
        <v>46172</v>
      </c>
      <c r="E404" s="1">
        <v>46187</v>
      </c>
      <c r="F404">
        <v>16275.39</v>
      </c>
      <c r="G404" t="s">
        <v>2574</v>
      </c>
      <c r="H404">
        <v>16275.39</v>
      </c>
      <c r="I404">
        <v>0</v>
      </c>
      <c r="J404">
        <v>78</v>
      </c>
      <c r="K404" t="s">
        <v>2558</v>
      </c>
    </row>
    <row r="405" spans="1:11">
      <c r="A405" t="s">
        <v>2614</v>
      </c>
      <c r="B405" t="s">
        <v>695</v>
      </c>
      <c r="C405" t="s">
        <v>2601</v>
      </c>
      <c r="D405" s="1">
        <v>46159</v>
      </c>
      <c r="E405" s="1">
        <v>46189</v>
      </c>
      <c r="F405">
        <v>322563.78999999998</v>
      </c>
      <c r="G405" t="s">
        <v>2574</v>
      </c>
      <c r="H405">
        <v>322563.78999999998</v>
      </c>
      <c r="I405">
        <v>0</v>
      </c>
      <c r="J405">
        <v>76</v>
      </c>
      <c r="K405" t="s">
        <v>2558</v>
      </c>
    </row>
    <row r="406" spans="1:11">
      <c r="A406" t="s">
        <v>2614</v>
      </c>
      <c r="B406" t="s">
        <v>708</v>
      </c>
      <c r="C406" t="s">
        <v>2583</v>
      </c>
      <c r="D406" s="1">
        <v>46145</v>
      </c>
      <c r="E406" s="1">
        <v>46205</v>
      </c>
      <c r="F406">
        <v>203171.98</v>
      </c>
      <c r="G406" t="s">
        <v>2562</v>
      </c>
      <c r="H406">
        <v>203171.98</v>
      </c>
      <c r="I406">
        <v>0</v>
      </c>
      <c r="J406">
        <v>60</v>
      </c>
      <c r="K406" t="s">
        <v>2558</v>
      </c>
    </row>
    <row r="407" spans="1:11">
      <c r="A407" t="s">
        <v>2614</v>
      </c>
      <c r="B407" t="s">
        <v>697</v>
      </c>
      <c r="C407" t="s">
        <v>2576</v>
      </c>
      <c r="D407" s="1">
        <v>46160</v>
      </c>
      <c r="E407" s="1">
        <v>46205</v>
      </c>
      <c r="F407">
        <v>514559.58</v>
      </c>
      <c r="G407" t="s">
        <v>2566</v>
      </c>
      <c r="H407">
        <v>514559.58</v>
      </c>
      <c r="I407">
        <v>0</v>
      </c>
      <c r="J407">
        <v>60</v>
      </c>
      <c r="K407" t="s">
        <v>2558</v>
      </c>
    </row>
    <row r="408" spans="1:11">
      <c r="A408" t="s">
        <v>2614</v>
      </c>
      <c r="B408" t="s">
        <v>699</v>
      </c>
      <c r="C408" t="s">
        <v>2579</v>
      </c>
      <c r="D408" s="1">
        <v>46161</v>
      </c>
      <c r="E408" s="1">
        <v>46191</v>
      </c>
      <c r="F408">
        <v>155186.15</v>
      </c>
      <c r="G408" t="s">
        <v>2557</v>
      </c>
      <c r="H408">
        <v>155186.15</v>
      </c>
      <c r="I408">
        <v>0</v>
      </c>
      <c r="J408">
        <v>74</v>
      </c>
      <c r="K408" t="s">
        <v>2558</v>
      </c>
    </row>
    <row r="409" spans="1:11">
      <c r="A409" t="s">
        <v>2614</v>
      </c>
      <c r="B409" t="s">
        <v>701</v>
      </c>
      <c r="C409" t="s">
        <v>2599</v>
      </c>
      <c r="D409" s="1">
        <v>46163</v>
      </c>
      <c r="E409" s="1">
        <v>46223</v>
      </c>
      <c r="F409">
        <v>248734.52</v>
      </c>
      <c r="G409" t="s">
        <v>2562</v>
      </c>
      <c r="H409">
        <v>248734.52</v>
      </c>
      <c r="I409">
        <v>0</v>
      </c>
      <c r="J409">
        <v>42</v>
      </c>
      <c r="K409" t="s">
        <v>2558</v>
      </c>
    </row>
    <row r="410" spans="1:11">
      <c r="A410" t="s">
        <v>2614</v>
      </c>
      <c r="B410" t="s">
        <v>1197</v>
      </c>
      <c r="C410" t="s">
        <v>2573</v>
      </c>
      <c r="D410" s="1">
        <v>46146</v>
      </c>
      <c r="E410" s="1">
        <v>46176</v>
      </c>
      <c r="F410">
        <v>21137.89</v>
      </c>
      <c r="G410" t="s">
        <v>2574</v>
      </c>
      <c r="H410">
        <v>21137.89</v>
      </c>
      <c r="I410">
        <v>0</v>
      </c>
      <c r="J410">
        <v>89</v>
      </c>
      <c r="K410" t="s">
        <v>2558</v>
      </c>
    </row>
    <row r="411" spans="1:11">
      <c r="A411" t="s">
        <v>2614</v>
      </c>
      <c r="B411" t="s">
        <v>703</v>
      </c>
      <c r="C411" t="s">
        <v>2580</v>
      </c>
      <c r="D411" s="1">
        <v>46168</v>
      </c>
      <c r="E411" s="1">
        <v>46183</v>
      </c>
      <c r="F411">
        <v>26462.21</v>
      </c>
      <c r="G411" t="s">
        <v>2557</v>
      </c>
      <c r="H411">
        <v>26462.21</v>
      </c>
      <c r="I411">
        <v>0</v>
      </c>
      <c r="J411">
        <v>82</v>
      </c>
      <c r="K411" t="s">
        <v>2558</v>
      </c>
    </row>
    <row r="412" spans="1:11">
      <c r="A412" t="s">
        <v>2614</v>
      </c>
      <c r="B412" t="s">
        <v>2634</v>
      </c>
      <c r="C412" t="s">
        <v>2595</v>
      </c>
      <c r="D412" s="1">
        <v>46146</v>
      </c>
      <c r="E412" s="1">
        <v>46176</v>
      </c>
      <c r="F412">
        <v>91130.18</v>
      </c>
      <c r="G412" t="s">
        <v>2568</v>
      </c>
      <c r="I412">
        <v>91130.18</v>
      </c>
      <c r="J412">
        <v>89</v>
      </c>
      <c r="K412" t="s">
        <v>2609</v>
      </c>
    </row>
    <row r="413" spans="1:11">
      <c r="A413" t="s">
        <v>2614</v>
      </c>
      <c r="B413" t="s">
        <v>710</v>
      </c>
      <c r="C413" t="s">
        <v>2576</v>
      </c>
      <c r="D413" s="1">
        <v>46162</v>
      </c>
      <c r="E413" s="1">
        <v>46207</v>
      </c>
      <c r="F413">
        <v>723269.46</v>
      </c>
      <c r="G413" t="s">
        <v>2566</v>
      </c>
      <c r="H413">
        <v>723269.46</v>
      </c>
      <c r="I413">
        <v>0</v>
      </c>
      <c r="J413">
        <v>58</v>
      </c>
      <c r="K413" t="s">
        <v>2558</v>
      </c>
    </row>
    <row r="414" spans="1:11">
      <c r="A414" t="s">
        <v>2614</v>
      </c>
      <c r="B414" t="s">
        <v>712</v>
      </c>
      <c r="C414" t="s">
        <v>2579</v>
      </c>
      <c r="D414" s="1">
        <v>46163</v>
      </c>
      <c r="E414" s="1">
        <v>46193</v>
      </c>
      <c r="F414">
        <v>154998.49</v>
      </c>
      <c r="G414" t="s">
        <v>2557</v>
      </c>
      <c r="H414">
        <v>154998.49</v>
      </c>
      <c r="I414">
        <v>0</v>
      </c>
      <c r="J414">
        <v>72</v>
      </c>
      <c r="K414" t="s">
        <v>2558</v>
      </c>
    </row>
    <row r="415" spans="1:11">
      <c r="A415" t="s">
        <v>2614</v>
      </c>
      <c r="B415" t="s">
        <v>1181</v>
      </c>
      <c r="C415" t="s">
        <v>2582</v>
      </c>
      <c r="D415" s="1">
        <v>46146</v>
      </c>
      <c r="E415" s="1">
        <v>46176</v>
      </c>
      <c r="F415">
        <v>177843.53</v>
      </c>
      <c r="G415" t="s">
        <v>2557</v>
      </c>
      <c r="H415">
        <v>177843.53</v>
      </c>
      <c r="I415">
        <v>0</v>
      </c>
      <c r="J415">
        <v>89</v>
      </c>
      <c r="K415" t="s">
        <v>2558</v>
      </c>
    </row>
    <row r="416" spans="1:11">
      <c r="A416" t="s">
        <v>2614</v>
      </c>
      <c r="B416" t="s">
        <v>714</v>
      </c>
      <c r="C416" t="s">
        <v>2579</v>
      </c>
      <c r="D416" s="1">
        <v>46163</v>
      </c>
      <c r="E416" s="1">
        <v>46193</v>
      </c>
      <c r="F416">
        <v>211622.69</v>
      </c>
      <c r="G416" t="s">
        <v>2557</v>
      </c>
      <c r="H416">
        <v>211622.69</v>
      </c>
      <c r="I416">
        <v>0</v>
      </c>
      <c r="J416">
        <v>72</v>
      </c>
      <c r="K416" t="s">
        <v>2558</v>
      </c>
    </row>
    <row r="417" spans="1:11">
      <c r="A417" t="s">
        <v>2614</v>
      </c>
      <c r="B417" t="s">
        <v>1254</v>
      </c>
      <c r="C417" t="s">
        <v>2582</v>
      </c>
      <c r="D417" s="1">
        <v>46146</v>
      </c>
      <c r="E417" s="1">
        <v>46176</v>
      </c>
      <c r="F417">
        <v>36858.65</v>
      </c>
      <c r="G417" t="s">
        <v>2557</v>
      </c>
      <c r="H417">
        <v>36858.65</v>
      </c>
      <c r="I417">
        <v>0</v>
      </c>
      <c r="J417">
        <v>89</v>
      </c>
      <c r="K417" t="s">
        <v>2558</v>
      </c>
    </row>
    <row r="418" spans="1:11">
      <c r="A418" t="s">
        <v>2614</v>
      </c>
      <c r="B418" t="s">
        <v>716</v>
      </c>
      <c r="C418" t="s">
        <v>2559</v>
      </c>
      <c r="D418" s="1">
        <v>46170</v>
      </c>
      <c r="E418" s="1">
        <v>46185</v>
      </c>
      <c r="F418">
        <v>37979.32</v>
      </c>
      <c r="G418" t="s">
        <v>2560</v>
      </c>
      <c r="H418">
        <v>37979.32</v>
      </c>
      <c r="I418">
        <v>0</v>
      </c>
      <c r="J418">
        <v>80</v>
      </c>
      <c r="K418" t="s">
        <v>2558</v>
      </c>
    </row>
    <row r="419" spans="1:11">
      <c r="A419" t="s">
        <v>2614</v>
      </c>
      <c r="B419" t="s">
        <v>1306</v>
      </c>
      <c r="C419" t="s">
        <v>2570</v>
      </c>
      <c r="D419" s="1">
        <v>46146</v>
      </c>
      <c r="E419" s="1">
        <v>46176</v>
      </c>
      <c r="F419">
        <v>1104022.49</v>
      </c>
      <c r="G419" t="s">
        <v>2557</v>
      </c>
      <c r="H419">
        <v>1104022.49</v>
      </c>
      <c r="I419">
        <v>0</v>
      </c>
      <c r="J419">
        <v>89</v>
      </c>
      <c r="K419" t="s">
        <v>2558</v>
      </c>
    </row>
    <row r="420" spans="1:11">
      <c r="A420" t="s">
        <v>2614</v>
      </c>
      <c r="B420" t="s">
        <v>843</v>
      </c>
      <c r="C420" t="s">
        <v>2564</v>
      </c>
      <c r="D420" s="1">
        <v>46146</v>
      </c>
      <c r="E420" s="1">
        <v>46206</v>
      </c>
      <c r="F420">
        <v>347472.81</v>
      </c>
      <c r="G420" t="s">
        <v>2562</v>
      </c>
      <c r="H420">
        <v>347472.81</v>
      </c>
      <c r="I420">
        <v>0</v>
      </c>
      <c r="J420">
        <v>59</v>
      </c>
      <c r="K420" t="s">
        <v>2558</v>
      </c>
    </row>
    <row r="421" spans="1:11">
      <c r="A421" t="s">
        <v>2614</v>
      </c>
      <c r="B421" t="s">
        <v>1076</v>
      </c>
      <c r="C421" t="s">
        <v>2602</v>
      </c>
      <c r="D421" s="1">
        <v>46146</v>
      </c>
      <c r="E421" s="1">
        <v>46206</v>
      </c>
      <c r="F421">
        <v>48728.2</v>
      </c>
      <c r="G421" t="s">
        <v>2562</v>
      </c>
      <c r="H421">
        <v>48728.2</v>
      </c>
      <c r="I421">
        <v>0</v>
      </c>
      <c r="J421">
        <v>59</v>
      </c>
      <c r="K421" t="s">
        <v>2558</v>
      </c>
    </row>
    <row r="422" spans="1:11">
      <c r="A422" t="s">
        <v>2614</v>
      </c>
      <c r="B422" t="s">
        <v>722</v>
      </c>
      <c r="C422" t="s">
        <v>2576</v>
      </c>
      <c r="D422" s="1">
        <v>46152</v>
      </c>
      <c r="E422" s="1">
        <v>46197</v>
      </c>
      <c r="F422">
        <v>538237.46</v>
      </c>
      <c r="G422" t="s">
        <v>2566</v>
      </c>
      <c r="H422">
        <v>538237.46</v>
      </c>
      <c r="I422">
        <v>0</v>
      </c>
      <c r="J422">
        <v>68</v>
      </c>
      <c r="K422" t="s">
        <v>2558</v>
      </c>
    </row>
    <row r="423" spans="1:11">
      <c r="A423" t="s">
        <v>2614</v>
      </c>
      <c r="B423" t="s">
        <v>724</v>
      </c>
      <c r="C423" t="s">
        <v>2579</v>
      </c>
      <c r="D423" s="1">
        <v>46160</v>
      </c>
      <c r="E423" s="1">
        <v>46190</v>
      </c>
      <c r="F423">
        <v>517006.79</v>
      </c>
      <c r="G423" t="s">
        <v>2557</v>
      </c>
      <c r="H423">
        <v>517006.79</v>
      </c>
      <c r="I423">
        <v>0</v>
      </c>
      <c r="J423">
        <v>75</v>
      </c>
      <c r="K423" t="s">
        <v>2558</v>
      </c>
    </row>
    <row r="424" spans="1:11">
      <c r="A424" t="s">
        <v>2614</v>
      </c>
      <c r="B424" t="s">
        <v>726</v>
      </c>
      <c r="C424" t="s">
        <v>2559</v>
      </c>
      <c r="D424" s="1">
        <v>46173</v>
      </c>
      <c r="E424" s="1">
        <v>46188</v>
      </c>
      <c r="F424">
        <v>6057.69</v>
      </c>
      <c r="G424" t="s">
        <v>2560</v>
      </c>
      <c r="H424">
        <v>6057.69</v>
      </c>
      <c r="I424">
        <v>0</v>
      </c>
      <c r="J424">
        <v>77</v>
      </c>
      <c r="K424" t="s">
        <v>2558</v>
      </c>
    </row>
    <row r="425" spans="1:11">
      <c r="A425" t="s">
        <v>2614</v>
      </c>
      <c r="B425" t="s">
        <v>743</v>
      </c>
      <c r="C425" t="s">
        <v>2590</v>
      </c>
      <c r="D425" s="1">
        <v>46147</v>
      </c>
      <c r="E425" s="1">
        <v>46177</v>
      </c>
      <c r="F425">
        <v>189364.13</v>
      </c>
      <c r="G425" t="s">
        <v>2562</v>
      </c>
      <c r="H425">
        <v>63191.59</v>
      </c>
      <c r="I425">
        <v>126172.54</v>
      </c>
      <c r="J425">
        <v>88</v>
      </c>
      <c r="K425" t="s">
        <v>2609</v>
      </c>
    </row>
    <row r="426" spans="1:11">
      <c r="A426" t="s">
        <v>2614</v>
      </c>
      <c r="B426" t="s">
        <v>880</v>
      </c>
      <c r="C426" t="s">
        <v>2576</v>
      </c>
      <c r="D426" s="1">
        <v>46147</v>
      </c>
      <c r="E426" s="1">
        <v>46192</v>
      </c>
      <c r="F426">
        <v>376336.97</v>
      </c>
      <c r="G426" t="s">
        <v>2566</v>
      </c>
      <c r="H426">
        <v>376336.97</v>
      </c>
      <c r="I426">
        <v>0</v>
      </c>
      <c r="J426">
        <v>73</v>
      </c>
      <c r="K426" t="s">
        <v>2558</v>
      </c>
    </row>
    <row r="427" spans="1:11">
      <c r="A427" t="s">
        <v>2614</v>
      </c>
      <c r="B427" t="s">
        <v>734</v>
      </c>
      <c r="C427" t="s">
        <v>2581</v>
      </c>
      <c r="D427" s="1">
        <v>46152</v>
      </c>
      <c r="E427" s="1">
        <v>46167</v>
      </c>
      <c r="F427">
        <v>60904.12</v>
      </c>
      <c r="G427" t="s">
        <v>2562</v>
      </c>
      <c r="H427">
        <v>60904.119999999995</v>
      </c>
      <c r="I427">
        <v>0</v>
      </c>
      <c r="J427">
        <v>98</v>
      </c>
      <c r="K427" t="s">
        <v>2558</v>
      </c>
    </row>
    <row r="428" spans="1:11">
      <c r="A428" t="s">
        <v>2614</v>
      </c>
      <c r="B428" t="s">
        <v>760</v>
      </c>
      <c r="C428" t="s">
        <v>2585</v>
      </c>
      <c r="D428" s="1">
        <v>46147</v>
      </c>
      <c r="E428" s="1">
        <v>46177</v>
      </c>
      <c r="F428">
        <v>1721375.77</v>
      </c>
      <c r="G428" t="s">
        <v>2562</v>
      </c>
      <c r="H428">
        <v>752967.43</v>
      </c>
      <c r="I428">
        <v>968408.34</v>
      </c>
      <c r="J428">
        <v>88</v>
      </c>
      <c r="K428" t="s">
        <v>2609</v>
      </c>
    </row>
    <row r="429" spans="1:11">
      <c r="A429" t="s">
        <v>2614</v>
      </c>
      <c r="B429" t="s">
        <v>736</v>
      </c>
      <c r="C429" t="s">
        <v>2594</v>
      </c>
      <c r="D429" s="1">
        <v>46158</v>
      </c>
      <c r="E429" s="1">
        <v>46188</v>
      </c>
      <c r="F429">
        <v>171740.68</v>
      </c>
      <c r="G429" t="s">
        <v>2557</v>
      </c>
      <c r="H429">
        <v>171740.68</v>
      </c>
      <c r="I429">
        <v>0</v>
      </c>
      <c r="J429">
        <v>77</v>
      </c>
      <c r="K429" t="s">
        <v>2558</v>
      </c>
    </row>
    <row r="430" spans="1:11">
      <c r="A430" t="s">
        <v>2614</v>
      </c>
      <c r="B430" t="s">
        <v>1368</v>
      </c>
      <c r="C430" t="s">
        <v>2583</v>
      </c>
      <c r="D430" s="1">
        <v>46147</v>
      </c>
      <c r="E430" s="1">
        <v>46207</v>
      </c>
      <c r="F430">
        <v>74765.56</v>
      </c>
      <c r="G430" t="s">
        <v>2562</v>
      </c>
      <c r="H430">
        <v>74765.56</v>
      </c>
      <c r="I430">
        <v>0</v>
      </c>
      <c r="J430">
        <v>58</v>
      </c>
      <c r="K430" t="s">
        <v>2558</v>
      </c>
    </row>
    <row r="431" spans="1:11">
      <c r="A431" t="s">
        <v>2614</v>
      </c>
      <c r="B431" t="s">
        <v>745</v>
      </c>
      <c r="C431" t="s">
        <v>2571</v>
      </c>
      <c r="D431" s="1">
        <v>46149</v>
      </c>
      <c r="E431" s="1">
        <v>46194</v>
      </c>
      <c r="F431">
        <v>423363.86</v>
      </c>
      <c r="G431" t="s">
        <v>2568</v>
      </c>
      <c r="H431">
        <v>423363.86</v>
      </c>
      <c r="I431">
        <v>0</v>
      </c>
      <c r="J431">
        <v>71</v>
      </c>
      <c r="K431" t="s">
        <v>2558</v>
      </c>
    </row>
    <row r="432" spans="1:11">
      <c r="A432" t="s">
        <v>2614</v>
      </c>
      <c r="B432" t="s">
        <v>747</v>
      </c>
      <c r="C432" t="s">
        <v>2620</v>
      </c>
      <c r="D432" s="1">
        <v>46163</v>
      </c>
      <c r="E432" s="1">
        <v>46193</v>
      </c>
      <c r="F432">
        <v>481903</v>
      </c>
      <c r="G432" t="s">
        <v>2568</v>
      </c>
      <c r="H432">
        <v>481903</v>
      </c>
      <c r="I432">
        <v>0</v>
      </c>
      <c r="J432">
        <v>72</v>
      </c>
      <c r="K432" t="s">
        <v>2558</v>
      </c>
    </row>
    <row r="433" spans="1:11">
      <c r="A433" t="s">
        <v>2614</v>
      </c>
      <c r="B433" t="s">
        <v>1153</v>
      </c>
      <c r="C433" t="s">
        <v>2559</v>
      </c>
      <c r="D433" s="1">
        <v>46148</v>
      </c>
      <c r="E433" s="1">
        <v>46163</v>
      </c>
      <c r="F433">
        <v>35491.53</v>
      </c>
      <c r="G433" t="s">
        <v>2560</v>
      </c>
      <c r="H433">
        <v>35491.53</v>
      </c>
      <c r="I433">
        <v>0</v>
      </c>
      <c r="J433">
        <v>102</v>
      </c>
      <c r="K433" t="s">
        <v>2558</v>
      </c>
    </row>
    <row r="434" spans="1:11">
      <c r="A434" t="s">
        <v>2614</v>
      </c>
      <c r="B434" t="s">
        <v>749</v>
      </c>
      <c r="C434" t="s">
        <v>2590</v>
      </c>
      <c r="D434" s="1">
        <v>46164</v>
      </c>
      <c r="E434" s="1">
        <v>46194</v>
      </c>
      <c r="F434">
        <v>55275.25</v>
      </c>
      <c r="G434" t="s">
        <v>2562</v>
      </c>
      <c r="H434">
        <v>55275.25</v>
      </c>
      <c r="I434">
        <v>0</v>
      </c>
      <c r="J434">
        <v>71</v>
      </c>
      <c r="K434" t="s">
        <v>2558</v>
      </c>
    </row>
    <row r="435" spans="1:11">
      <c r="A435" t="s">
        <v>2614</v>
      </c>
      <c r="B435" t="s">
        <v>1014</v>
      </c>
      <c r="C435" t="s">
        <v>2607</v>
      </c>
      <c r="D435" s="1">
        <v>46148</v>
      </c>
      <c r="E435" s="1">
        <v>46178</v>
      </c>
      <c r="F435">
        <v>66099.12</v>
      </c>
      <c r="G435" t="s">
        <v>2562</v>
      </c>
      <c r="H435">
        <v>66099.12</v>
      </c>
      <c r="I435">
        <v>0</v>
      </c>
      <c r="J435">
        <v>87</v>
      </c>
      <c r="K435" t="s">
        <v>2558</v>
      </c>
    </row>
    <row r="436" spans="1:11">
      <c r="A436" t="s">
        <v>2614</v>
      </c>
      <c r="B436" t="s">
        <v>751</v>
      </c>
      <c r="C436" t="s">
        <v>2576</v>
      </c>
      <c r="D436" s="1">
        <v>46171</v>
      </c>
      <c r="E436" s="1">
        <v>46216</v>
      </c>
      <c r="F436">
        <v>366144.21</v>
      </c>
      <c r="G436" t="s">
        <v>2566</v>
      </c>
      <c r="H436">
        <v>366144.21</v>
      </c>
      <c r="I436">
        <v>0</v>
      </c>
      <c r="J436">
        <v>49</v>
      </c>
      <c r="K436" t="s">
        <v>2558</v>
      </c>
    </row>
    <row r="437" spans="1:11">
      <c r="A437" t="s">
        <v>2614</v>
      </c>
      <c r="B437" t="s">
        <v>1093</v>
      </c>
      <c r="C437" t="s">
        <v>2556</v>
      </c>
      <c r="D437" s="1">
        <v>46148</v>
      </c>
      <c r="E437" s="1">
        <v>46178</v>
      </c>
      <c r="F437">
        <v>158392.45000000001</v>
      </c>
      <c r="G437" t="s">
        <v>2557</v>
      </c>
      <c r="H437">
        <v>158392.45000000001</v>
      </c>
      <c r="I437">
        <v>0</v>
      </c>
      <c r="J437">
        <v>87</v>
      </c>
      <c r="K437" t="s">
        <v>2558</v>
      </c>
    </row>
    <row r="438" spans="1:11">
      <c r="A438" t="s">
        <v>2631</v>
      </c>
      <c r="B438" t="s">
        <v>753</v>
      </c>
      <c r="C438" t="s">
        <v>2608</v>
      </c>
      <c r="D438" s="1">
        <v>46175</v>
      </c>
      <c r="E438" s="1">
        <v>46220</v>
      </c>
      <c r="F438">
        <v>357640.18</v>
      </c>
      <c r="G438" t="s">
        <v>2560</v>
      </c>
      <c r="H438">
        <v>357640.18</v>
      </c>
      <c r="I438">
        <v>0</v>
      </c>
      <c r="J438">
        <v>45</v>
      </c>
      <c r="K438" t="s">
        <v>2558</v>
      </c>
    </row>
    <row r="439" spans="1:11">
      <c r="A439" t="s">
        <v>2614</v>
      </c>
      <c r="B439" t="s">
        <v>2635</v>
      </c>
      <c r="C439" t="s">
        <v>2576</v>
      </c>
      <c r="D439" s="1">
        <v>46148</v>
      </c>
      <c r="E439" s="1">
        <v>46193</v>
      </c>
      <c r="F439">
        <v>355619.88</v>
      </c>
      <c r="G439" t="s">
        <v>2566</v>
      </c>
      <c r="I439">
        <v>355619.88</v>
      </c>
      <c r="J439">
        <v>72</v>
      </c>
      <c r="K439" t="s">
        <v>2609</v>
      </c>
    </row>
    <row r="440" spans="1:11">
      <c r="A440" t="s">
        <v>2631</v>
      </c>
      <c r="B440" t="s">
        <v>755</v>
      </c>
      <c r="C440" t="s">
        <v>2570</v>
      </c>
      <c r="D440" s="1">
        <v>46176</v>
      </c>
      <c r="E440" s="1">
        <v>46206</v>
      </c>
      <c r="F440">
        <v>384808.61</v>
      </c>
      <c r="G440" t="s">
        <v>2557</v>
      </c>
      <c r="H440">
        <v>384808.61</v>
      </c>
      <c r="I440">
        <v>0</v>
      </c>
      <c r="J440">
        <v>59</v>
      </c>
      <c r="K440" t="s">
        <v>2558</v>
      </c>
    </row>
    <row r="441" spans="1:11">
      <c r="A441" t="s">
        <v>2631</v>
      </c>
      <c r="B441" t="s">
        <v>757</v>
      </c>
      <c r="C441" t="s">
        <v>2612</v>
      </c>
      <c r="D441" s="1">
        <v>46176</v>
      </c>
      <c r="E441" s="1">
        <v>46206</v>
      </c>
      <c r="F441">
        <v>98726.41</v>
      </c>
      <c r="G441" t="s">
        <v>2566</v>
      </c>
      <c r="H441">
        <v>98726.41</v>
      </c>
      <c r="I441">
        <v>0</v>
      </c>
      <c r="J441">
        <v>59</v>
      </c>
      <c r="K441" t="s">
        <v>2558</v>
      </c>
    </row>
    <row r="442" spans="1:11">
      <c r="A442" t="s">
        <v>2614</v>
      </c>
      <c r="B442" t="s">
        <v>2179</v>
      </c>
      <c r="C442" t="s">
        <v>2588</v>
      </c>
      <c r="D442" s="1">
        <v>46148</v>
      </c>
      <c r="E442" s="1">
        <v>46178</v>
      </c>
      <c r="F442">
        <v>34585.019999999997</v>
      </c>
      <c r="G442" t="s">
        <v>2562</v>
      </c>
      <c r="H442">
        <v>34585.019999999997</v>
      </c>
      <c r="I442">
        <v>0</v>
      </c>
      <c r="J442">
        <v>87</v>
      </c>
      <c r="K442" t="s">
        <v>2558</v>
      </c>
    </row>
    <row r="443" spans="1:11">
      <c r="A443" t="s">
        <v>2614</v>
      </c>
      <c r="B443" t="s">
        <v>1731</v>
      </c>
      <c r="C443" t="s">
        <v>2576</v>
      </c>
      <c r="D443" s="1">
        <v>46148</v>
      </c>
      <c r="E443" s="1">
        <v>46193</v>
      </c>
      <c r="F443">
        <v>650061.49</v>
      </c>
      <c r="G443" t="s">
        <v>2566</v>
      </c>
      <c r="H443">
        <v>650061.49</v>
      </c>
      <c r="I443">
        <v>0</v>
      </c>
      <c r="J443">
        <v>72</v>
      </c>
      <c r="K443" t="s">
        <v>2558</v>
      </c>
    </row>
    <row r="444" spans="1:11">
      <c r="A444" t="s">
        <v>2614</v>
      </c>
      <c r="B444" t="s">
        <v>763</v>
      </c>
      <c r="C444" t="s">
        <v>2573</v>
      </c>
      <c r="D444" s="1">
        <v>46167</v>
      </c>
      <c r="E444" s="1">
        <v>46197</v>
      </c>
      <c r="F444">
        <v>69765.63</v>
      </c>
      <c r="G444" t="s">
        <v>2574</v>
      </c>
      <c r="H444">
        <v>69765.63</v>
      </c>
      <c r="I444">
        <v>0</v>
      </c>
      <c r="J444">
        <v>68</v>
      </c>
      <c r="K444" t="s">
        <v>2558</v>
      </c>
    </row>
    <row r="445" spans="1:11">
      <c r="A445" t="s">
        <v>2614</v>
      </c>
      <c r="B445" t="s">
        <v>1396</v>
      </c>
      <c r="C445" t="s">
        <v>2571</v>
      </c>
      <c r="D445" s="1">
        <v>46149</v>
      </c>
      <c r="E445" s="1">
        <v>46194</v>
      </c>
      <c r="F445">
        <v>32084.639999999999</v>
      </c>
      <c r="G445" t="s">
        <v>2568</v>
      </c>
      <c r="H445">
        <v>32084.639999999999</v>
      </c>
      <c r="I445">
        <v>0</v>
      </c>
      <c r="J445">
        <v>71</v>
      </c>
      <c r="K445" t="s">
        <v>2558</v>
      </c>
    </row>
    <row r="446" spans="1:11">
      <c r="A446" t="s">
        <v>2614</v>
      </c>
      <c r="B446" t="s">
        <v>2239</v>
      </c>
      <c r="C446" t="s">
        <v>2601</v>
      </c>
      <c r="D446" s="1">
        <v>46149</v>
      </c>
      <c r="E446" s="1">
        <v>46179</v>
      </c>
      <c r="F446">
        <v>42541.84</v>
      </c>
      <c r="G446" t="s">
        <v>2574</v>
      </c>
      <c r="H446">
        <v>42541.84</v>
      </c>
      <c r="I446">
        <v>0</v>
      </c>
      <c r="J446">
        <v>86</v>
      </c>
      <c r="K446" t="s">
        <v>2558</v>
      </c>
    </row>
    <row r="447" spans="1:11">
      <c r="A447" t="s">
        <v>2614</v>
      </c>
      <c r="B447" t="s">
        <v>770</v>
      </c>
      <c r="C447" t="s">
        <v>2615</v>
      </c>
      <c r="D447" s="1">
        <v>46162</v>
      </c>
      <c r="E447" s="1">
        <v>46177</v>
      </c>
      <c r="F447">
        <v>61945.77</v>
      </c>
      <c r="G447" t="s">
        <v>2574</v>
      </c>
      <c r="H447">
        <v>61945.77</v>
      </c>
      <c r="I447">
        <v>0</v>
      </c>
      <c r="J447">
        <v>88</v>
      </c>
      <c r="K447" t="s">
        <v>2558</v>
      </c>
    </row>
    <row r="448" spans="1:11">
      <c r="A448" t="s">
        <v>2614</v>
      </c>
      <c r="B448" t="s">
        <v>1581</v>
      </c>
      <c r="C448" t="s">
        <v>2602</v>
      </c>
      <c r="D448" s="1">
        <v>46149</v>
      </c>
      <c r="E448" s="1">
        <v>46209</v>
      </c>
      <c r="F448">
        <v>485159.01</v>
      </c>
      <c r="G448" t="s">
        <v>2562</v>
      </c>
      <c r="H448">
        <v>397417.48</v>
      </c>
      <c r="I448">
        <v>87741.53</v>
      </c>
      <c r="J448">
        <v>56</v>
      </c>
      <c r="K448" t="s">
        <v>2636</v>
      </c>
    </row>
    <row r="449" spans="1:11">
      <c r="A449" t="s">
        <v>2614</v>
      </c>
      <c r="B449" t="s">
        <v>772</v>
      </c>
      <c r="C449" t="s">
        <v>2576</v>
      </c>
      <c r="D449" s="1">
        <v>46171</v>
      </c>
      <c r="E449" s="1">
        <v>46216</v>
      </c>
      <c r="F449">
        <v>2000000</v>
      </c>
      <c r="G449" t="s">
        <v>2566</v>
      </c>
      <c r="H449">
        <v>2000000</v>
      </c>
      <c r="I449">
        <v>0</v>
      </c>
      <c r="J449">
        <v>49</v>
      </c>
      <c r="K449" t="s">
        <v>2558</v>
      </c>
    </row>
    <row r="450" spans="1:11">
      <c r="A450" t="s">
        <v>2631</v>
      </c>
      <c r="B450" t="s">
        <v>774</v>
      </c>
      <c r="C450" t="s">
        <v>2559</v>
      </c>
      <c r="D450" s="1">
        <v>46174</v>
      </c>
      <c r="E450" s="1">
        <v>46189</v>
      </c>
      <c r="F450">
        <v>70668.34</v>
      </c>
      <c r="G450" t="s">
        <v>2560</v>
      </c>
      <c r="H450">
        <v>70668.34</v>
      </c>
      <c r="I450">
        <v>0</v>
      </c>
      <c r="J450">
        <v>76</v>
      </c>
      <c r="K450" t="s">
        <v>2558</v>
      </c>
    </row>
    <row r="451" spans="1:11">
      <c r="A451" t="s">
        <v>2614</v>
      </c>
      <c r="B451" t="s">
        <v>2111</v>
      </c>
      <c r="C451" t="s">
        <v>2615</v>
      </c>
      <c r="D451" s="1">
        <v>46149</v>
      </c>
      <c r="E451" s="1">
        <v>46164</v>
      </c>
      <c r="F451">
        <v>65487.42</v>
      </c>
      <c r="G451" t="s">
        <v>2574</v>
      </c>
      <c r="H451">
        <v>65487.42</v>
      </c>
      <c r="I451">
        <v>0</v>
      </c>
      <c r="J451">
        <v>101</v>
      </c>
      <c r="K451" t="s">
        <v>2558</v>
      </c>
    </row>
    <row r="452" spans="1:11">
      <c r="A452" t="s">
        <v>2614</v>
      </c>
      <c r="B452" t="s">
        <v>779</v>
      </c>
      <c r="C452" t="s">
        <v>2585</v>
      </c>
      <c r="D452" s="1">
        <v>46153</v>
      </c>
      <c r="E452" s="1">
        <v>46183</v>
      </c>
      <c r="F452">
        <v>1951616.33</v>
      </c>
      <c r="G452" t="s">
        <v>2562</v>
      </c>
      <c r="H452">
        <v>1951616.33</v>
      </c>
      <c r="I452">
        <v>0</v>
      </c>
      <c r="J452">
        <v>82</v>
      </c>
      <c r="K452" t="s">
        <v>2558</v>
      </c>
    </row>
    <row r="453" spans="1:11">
      <c r="A453" t="s">
        <v>2614</v>
      </c>
      <c r="B453" t="s">
        <v>781</v>
      </c>
      <c r="C453" t="s">
        <v>2604</v>
      </c>
      <c r="D453" s="1">
        <v>46154</v>
      </c>
      <c r="E453" s="1">
        <v>46199</v>
      </c>
      <c r="F453">
        <v>21386.95</v>
      </c>
      <c r="G453" t="s">
        <v>2562</v>
      </c>
      <c r="H453">
        <v>21386.95</v>
      </c>
      <c r="I453">
        <v>0</v>
      </c>
      <c r="J453">
        <v>66</v>
      </c>
      <c r="K453" t="s">
        <v>2558</v>
      </c>
    </row>
    <row r="454" spans="1:11">
      <c r="A454" t="s">
        <v>2614</v>
      </c>
      <c r="B454" t="s">
        <v>783</v>
      </c>
      <c r="C454" t="s">
        <v>2571</v>
      </c>
      <c r="D454" s="1">
        <v>46156</v>
      </c>
      <c r="E454" s="1">
        <v>46201</v>
      </c>
      <c r="F454">
        <v>74545.5</v>
      </c>
      <c r="G454" t="s">
        <v>2568</v>
      </c>
      <c r="H454">
        <v>74545.5</v>
      </c>
      <c r="I454">
        <v>0</v>
      </c>
      <c r="J454">
        <v>64</v>
      </c>
      <c r="K454" t="s">
        <v>2558</v>
      </c>
    </row>
    <row r="455" spans="1:11">
      <c r="A455" t="s">
        <v>2614</v>
      </c>
      <c r="B455" t="s">
        <v>1298</v>
      </c>
      <c r="C455" t="s">
        <v>2585</v>
      </c>
      <c r="D455" s="1">
        <v>46149</v>
      </c>
      <c r="E455" s="1">
        <v>46179</v>
      </c>
      <c r="F455">
        <v>244873.88</v>
      </c>
      <c r="G455" t="s">
        <v>2562</v>
      </c>
      <c r="H455">
        <v>244873.88</v>
      </c>
      <c r="I455">
        <v>0</v>
      </c>
      <c r="J455">
        <v>86</v>
      </c>
      <c r="K455" t="s">
        <v>2558</v>
      </c>
    </row>
    <row r="456" spans="1:11">
      <c r="A456" t="s">
        <v>2614</v>
      </c>
      <c r="B456" t="s">
        <v>785</v>
      </c>
      <c r="C456" t="s">
        <v>2570</v>
      </c>
      <c r="D456" s="1">
        <v>46159</v>
      </c>
      <c r="E456" s="1">
        <v>46189</v>
      </c>
      <c r="F456">
        <v>176179.18</v>
      </c>
      <c r="G456" t="s">
        <v>2557</v>
      </c>
      <c r="H456">
        <v>176179.18</v>
      </c>
      <c r="I456">
        <v>0</v>
      </c>
      <c r="J456">
        <v>76</v>
      </c>
      <c r="K456" t="s">
        <v>2558</v>
      </c>
    </row>
    <row r="457" spans="1:11">
      <c r="A457" t="s">
        <v>2614</v>
      </c>
      <c r="B457" t="s">
        <v>787</v>
      </c>
      <c r="C457" t="s">
        <v>2595</v>
      </c>
      <c r="D457" s="1">
        <v>46160</v>
      </c>
      <c r="E457" s="1">
        <v>46190</v>
      </c>
      <c r="F457">
        <v>463034.48</v>
      </c>
      <c r="G457" t="s">
        <v>2568</v>
      </c>
      <c r="H457">
        <v>463034.48</v>
      </c>
      <c r="I457">
        <v>0</v>
      </c>
      <c r="J457">
        <v>75</v>
      </c>
      <c r="K457" t="s">
        <v>2558</v>
      </c>
    </row>
    <row r="458" spans="1:11">
      <c r="A458" t="s">
        <v>2614</v>
      </c>
      <c r="B458" t="s">
        <v>789</v>
      </c>
      <c r="C458" t="s">
        <v>2589</v>
      </c>
      <c r="D458" s="1">
        <v>46172</v>
      </c>
      <c r="E458" s="1">
        <v>46202</v>
      </c>
      <c r="F458">
        <v>32299.58</v>
      </c>
      <c r="G458" t="s">
        <v>2568</v>
      </c>
      <c r="H458">
        <v>32299.58</v>
      </c>
      <c r="I458">
        <v>0</v>
      </c>
      <c r="J458">
        <v>63</v>
      </c>
      <c r="K458" t="s">
        <v>2558</v>
      </c>
    </row>
    <row r="459" spans="1:11">
      <c r="A459" t="s">
        <v>2614</v>
      </c>
      <c r="B459" t="s">
        <v>2025</v>
      </c>
      <c r="C459" t="s">
        <v>2613</v>
      </c>
      <c r="D459" s="1">
        <v>46150</v>
      </c>
      <c r="E459" s="1">
        <v>46210</v>
      </c>
      <c r="F459">
        <v>185212.83</v>
      </c>
      <c r="G459" t="s">
        <v>2560</v>
      </c>
      <c r="H459">
        <v>185212.83</v>
      </c>
      <c r="I459">
        <v>0</v>
      </c>
      <c r="J459">
        <v>55</v>
      </c>
      <c r="K459" t="s">
        <v>2558</v>
      </c>
    </row>
    <row r="460" spans="1:11">
      <c r="A460" t="s">
        <v>2614</v>
      </c>
      <c r="B460" t="s">
        <v>791</v>
      </c>
      <c r="C460" t="s">
        <v>2592</v>
      </c>
      <c r="D460" s="1">
        <v>46173</v>
      </c>
      <c r="E460" s="1">
        <v>46203</v>
      </c>
      <c r="F460">
        <v>11381.85</v>
      </c>
      <c r="G460" t="s">
        <v>2562</v>
      </c>
      <c r="H460">
        <v>11381.85</v>
      </c>
      <c r="I460">
        <v>0</v>
      </c>
      <c r="J460">
        <v>62</v>
      </c>
      <c r="K460" t="s">
        <v>2558</v>
      </c>
    </row>
    <row r="461" spans="1:11">
      <c r="A461" t="s">
        <v>2631</v>
      </c>
      <c r="B461" t="s">
        <v>793</v>
      </c>
      <c r="C461" t="s">
        <v>2559</v>
      </c>
      <c r="D461" s="1">
        <v>46176</v>
      </c>
      <c r="E461" s="1">
        <v>46191</v>
      </c>
      <c r="F461">
        <v>16966.86</v>
      </c>
      <c r="G461" t="s">
        <v>2560</v>
      </c>
      <c r="H461">
        <v>16966.86</v>
      </c>
      <c r="I461">
        <v>0</v>
      </c>
      <c r="J461">
        <v>74</v>
      </c>
      <c r="K461" t="s">
        <v>2558</v>
      </c>
    </row>
    <row r="462" spans="1:11">
      <c r="A462" t="s">
        <v>2631</v>
      </c>
      <c r="B462" t="s">
        <v>795</v>
      </c>
      <c r="C462" t="s">
        <v>2575</v>
      </c>
      <c r="D462" s="1">
        <v>46184</v>
      </c>
      <c r="E462" s="1">
        <v>46199</v>
      </c>
      <c r="F462">
        <v>162476.17000000001</v>
      </c>
      <c r="G462" t="s">
        <v>2574</v>
      </c>
      <c r="H462">
        <v>91123.040000000008</v>
      </c>
      <c r="I462">
        <v>71353.13</v>
      </c>
      <c r="J462">
        <v>66</v>
      </c>
      <c r="K462" t="s">
        <v>2609</v>
      </c>
    </row>
    <row r="463" spans="1:11">
      <c r="A463" t="s">
        <v>2631</v>
      </c>
      <c r="B463" t="s">
        <v>797</v>
      </c>
      <c r="C463" t="s">
        <v>2569</v>
      </c>
      <c r="D463" s="1">
        <v>46184</v>
      </c>
      <c r="E463" s="1">
        <v>46199</v>
      </c>
      <c r="F463">
        <v>45983.12</v>
      </c>
      <c r="G463" t="s">
        <v>2557</v>
      </c>
      <c r="H463">
        <v>36723.67</v>
      </c>
      <c r="I463">
        <v>9259.4500000000007</v>
      </c>
      <c r="J463">
        <v>66</v>
      </c>
      <c r="K463" t="s">
        <v>2609</v>
      </c>
    </row>
    <row r="464" spans="1:11">
      <c r="A464" t="s">
        <v>2631</v>
      </c>
      <c r="B464" t="s">
        <v>799</v>
      </c>
      <c r="C464" t="s">
        <v>2585</v>
      </c>
      <c r="D464" s="1">
        <v>46186</v>
      </c>
      <c r="E464" s="1">
        <v>46216</v>
      </c>
      <c r="F464">
        <v>364899.62</v>
      </c>
      <c r="G464" t="s">
        <v>2562</v>
      </c>
      <c r="H464">
        <v>364899.62</v>
      </c>
      <c r="I464">
        <v>0</v>
      </c>
      <c r="J464">
        <v>49</v>
      </c>
      <c r="K464" t="s">
        <v>2558</v>
      </c>
    </row>
    <row r="465" spans="1:11">
      <c r="A465" t="s">
        <v>2614</v>
      </c>
      <c r="B465" t="s">
        <v>2637</v>
      </c>
      <c r="C465" t="s">
        <v>2577</v>
      </c>
      <c r="D465" s="1">
        <v>46151</v>
      </c>
      <c r="E465" s="1">
        <v>46181</v>
      </c>
      <c r="F465">
        <v>9441.89</v>
      </c>
      <c r="G465" t="s">
        <v>2562</v>
      </c>
      <c r="I465">
        <v>9441.89</v>
      </c>
      <c r="J465">
        <v>84</v>
      </c>
      <c r="K465" t="s">
        <v>2609</v>
      </c>
    </row>
    <row r="466" spans="1:11">
      <c r="A466" t="s">
        <v>2631</v>
      </c>
      <c r="B466" t="s">
        <v>801</v>
      </c>
      <c r="C466" t="s">
        <v>2581</v>
      </c>
      <c r="D466" s="1">
        <v>46188</v>
      </c>
      <c r="E466" s="1">
        <v>46203</v>
      </c>
      <c r="F466">
        <v>28196.42</v>
      </c>
      <c r="G466" t="s">
        <v>2562</v>
      </c>
      <c r="H466">
        <v>22789.25</v>
      </c>
      <c r="I466">
        <v>5407.17</v>
      </c>
      <c r="J466">
        <v>62</v>
      </c>
      <c r="K466" t="s">
        <v>2609</v>
      </c>
    </row>
    <row r="467" spans="1:11">
      <c r="A467" t="s">
        <v>2614</v>
      </c>
      <c r="B467" t="s">
        <v>2342</v>
      </c>
      <c r="C467" t="s">
        <v>2588</v>
      </c>
      <c r="D467" s="1">
        <v>46151</v>
      </c>
      <c r="E467" s="1">
        <v>46181</v>
      </c>
      <c r="F467">
        <v>262188.28000000003</v>
      </c>
      <c r="G467" t="s">
        <v>2562</v>
      </c>
      <c r="H467">
        <v>262188.28000000003</v>
      </c>
      <c r="I467">
        <v>0</v>
      </c>
      <c r="J467">
        <v>84</v>
      </c>
      <c r="K467" t="s">
        <v>2558</v>
      </c>
    </row>
    <row r="468" spans="1:11">
      <c r="A468" t="s">
        <v>2614</v>
      </c>
      <c r="B468" t="s">
        <v>1692</v>
      </c>
      <c r="C468" t="s">
        <v>2564</v>
      </c>
      <c r="D468" s="1">
        <v>46151</v>
      </c>
      <c r="E468" s="1">
        <v>46211</v>
      </c>
      <c r="F468">
        <v>130759.8</v>
      </c>
      <c r="G468" t="s">
        <v>2562</v>
      </c>
      <c r="H468">
        <v>130759.8</v>
      </c>
      <c r="I468">
        <v>0</v>
      </c>
      <c r="J468">
        <v>54</v>
      </c>
      <c r="K468" t="s">
        <v>2558</v>
      </c>
    </row>
    <row r="469" spans="1:11">
      <c r="A469" t="s">
        <v>2614</v>
      </c>
      <c r="B469" t="s">
        <v>1229</v>
      </c>
      <c r="C469" t="s">
        <v>2589</v>
      </c>
      <c r="D469" s="1">
        <v>46151</v>
      </c>
      <c r="E469" s="1">
        <v>46181</v>
      </c>
      <c r="F469">
        <v>72520.7</v>
      </c>
      <c r="G469" t="s">
        <v>2568</v>
      </c>
      <c r="H469">
        <v>72520.7</v>
      </c>
      <c r="I469">
        <v>0</v>
      </c>
      <c r="J469">
        <v>84</v>
      </c>
      <c r="K469" t="s">
        <v>2558</v>
      </c>
    </row>
    <row r="470" spans="1:11">
      <c r="A470" t="s">
        <v>2614</v>
      </c>
      <c r="B470" t="s">
        <v>814</v>
      </c>
      <c r="C470" t="s">
        <v>2623</v>
      </c>
      <c r="D470" s="1">
        <v>46163</v>
      </c>
      <c r="E470" s="1">
        <v>46193</v>
      </c>
      <c r="F470">
        <v>27601.71</v>
      </c>
      <c r="G470" t="s">
        <v>2562</v>
      </c>
      <c r="H470">
        <v>27601.71</v>
      </c>
      <c r="I470">
        <v>0</v>
      </c>
      <c r="J470">
        <v>72</v>
      </c>
      <c r="K470" t="s">
        <v>2558</v>
      </c>
    </row>
    <row r="471" spans="1:11">
      <c r="A471" t="s">
        <v>2614</v>
      </c>
      <c r="B471" t="s">
        <v>816</v>
      </c>
      <c r="C471" t="s">
        <v>2576</v>
      </c>
      <c r="D471" s="1">
        <v>46167</v>
      </c>
      <c r="E471" s="1">
        <v>46212</v>
      </c>
      <c r="F471">
        <v>393521.8</v>
      </c>
      <c r="G471" t="s">
        <v>2566</v>
      </c>
      <c r="H471">
        <v>393521.8</v>
      </c>
      <c r="I471">
        <v>0</v>
      </c>
      <c r="J471">
        <v>53</v>
      </c>
      <c r="K471" t="s">
        <v>2558</v>
      </c>
    </row>
    <row r="472" spans="1:11">
      <c r="A472" t="s">
        <v>2614</v>
      </c>
      <c r="B472" t="s">
        <v>1016</v>
      </c>
      <c r="C472" t="s">
        <v>2602</v>
      </c>
      <c r="D472" s="1">
        <v>46152</v>
      </c>
      <c r="E472" s="1">
        <v>46212</v>
      </c>
      <c r="F472">
        <v>421004.92</v>
      </c>
      <c r="G472" t="s">
        <v>2562</v>
      </c>
      <c r="H472">
        <v>421004.92</v>
      </c>
      <c r="I472">
        <v>0</v>
      </c>
      <c r="J472">
        <v>53</v>
      </c>
      <c r="K472" t="s">
        <v>2558</v>
      </c>
    </row>
    <row r="473" spans="1:11">
      <c r="A473" t="s">
        <v>2614</v>
      </c>
      <c r="B473" t="s">
        <v>882</v>
      </c>
      <c r="C473" t="s">
        <v>2576</v>
      </c>
      <c r="D473" s="1">
        <v>46152</v>
      </c>
      <c r="E473" s="1">
        <v>46197</v>
      </c>
      <c r="F473">
        <v>2000000</v>
      </c>
      <c r="G473" t="s">
        <v>2566</v>
      </c>
      <c r="H473">
        <v>2000000</v>
      </c>
      <c r="I473">
        <v>0</v>
      </c>
      <c r="J473">
        <v>68</v>
      </c>
      <c r="K473" t="s">
        <v>2558</v>
      </c>
    </row>
    <row r="474" spans="1:11">
      <c r="A474" t="s">
        <v>2614</v>
      </c>
      <c r="B474" t="s">
        <v>822</v>
      </c>
      <c r="C474" t="s">
        <v>2582</v>
      </c>
      <c r="D474" s="1">
        <v>46164</v>
      </c>
      <c r="E474" s="1">
        <v>46194</v>
      </c>
      <c r="F474">
        <v>192468.53</v>
      </c>
      <c r="G474" t="s">
        <v>2557</v>
      </c>
      <c r="H474">
        <v>214527.84</v>
      </c>
      <c r="I474">
        <v>-22059.31</v>
      </c>
      <c r="J474">
        <v>71</v>
      </c>
      <c r="K474" t="s">
        <v>2558</v>
      </c>
    </row>
    <row r="475" spans="1:11">
      <c r="A475" t="s">
        <v>2614</v>
      </c>
      <c r="B475" t="s">
        <v>824</v>
      </c>
      <c r="C475" t="s">
        <v>2585</v>
      </c>
      <c r="D475" s="1">
        <v>46170</v>
      </c>
      <c r="E475" s="1">
        <v>46200</v>
      </c>
      <c r="F475">
        <v>414974.36</v>
      </c>
      <c r="G475" t="s">
        <v>2562</v>
      </c>
      <c r="H475">
        <v>414974.36</v>
      </c>
      <c r="I475">
        <v>0</v>
      </c>
      <c r="J475">
        <v>65</v>
      </c>
      <c r="K475" t="s">
        <v>2558</v>
      </c>
    </row>
    <row r="476" spans="1:11">
      <c r="A476" t="s">
        <v>2614</v>
      </c>
      <c r="B476" t="s">
        <v>827</v>
      </c>
      <c r="C476" t="s">
        <v>2592</v>
      </c>
      <c r="D476" s="1">
        <v>46172</v>
      </c>
      <c r="E476" s="1">
        <v>46202</v>
      </c>
      <c r="F476">
        <v>19411.3</v>
      </c>
      <c r="G476" t="s">
        <v>2562</v>
      </c>
      <c r="H476">
        <v>19411.3</v>
      </c>
      <c r="I476">
        <v>0</v>
      </c>
      <c r="J476">
        <v>63</v>
      </c>
      <c r="K476" t="s">
        <v>2558</v>
      </c>
    </row>
    <row r="477" spans="1:11">
      <c r="A477" t="s">
        <v>2614</v>
      </c>
      <c r="B477" t="s">
        <v>2344</v>
      </c>
      <c r="C477" t="s">
        <v>2613</v>
      </c>
      <c r="D477" s="1">
        <v>46152</v>
      </c>
      <c r="E477" s="1">
        <v>46212</v>
      </c>
      <c r="F477">
        <v>87656.49</v>
      </c>
      <c r="G477" t="s">
        <v>2560</v>
      </c>
      <c r="H477">
        <v>87656.49</v>
      </c>
      <c r="I477">
        <v>0</v>
      </c>
      <c r="J477">
        <v>53</v>
      </c>
      <c r="K477" t="s">
        <v>2558</v>
      </c>
    </row>
    <row r="478" spans="1:11">
      <c r="A478" t="s">
        <v>2614</v>
      </c>
      <c r="B478" t="s">
        <v>829</v>
      </c>
      <c r="C478" t="s">
        <v>2579</v>
      </c>
      <c r="D478" s="1">
        <v>46172</v>
      </c>
      <c r="E478" s="1">
        <v>46202</v>
      </c>
      <c r="F478">
        <v>1150048.8999999999</v>
      </c>
      <c r="G478" t="s">
        <v>2557</v>
      </c>
      <c r="H478">
        <v>1150048.8999999999</v>
      </c>
      <c r="I478">
        <v>0</v>
      </c>
      <c r="J478">
        <v>63</v>
      </c>
      <c r="K478" t="s">
        <v>2558</v>
      </c>
    </row>
    <row r="479" spans="1:11">
      <c r="A479" t="s">
        <v>2631</v>
      </c>
      <c r="B479" t="s">
        <v>831</v>
      </c>
      <c r="C479" t="s">
        <v>2580</v>
      </c>
      <c r="D479" s="1">
        <v>46177</v>
      </c>
      <c r="E479" s="1">
        <v>46192</v>
      </c>
      <c r="F479">
        <v>31952.76</v>
      </c>
      <c r="G479" t="s">
        <v>2557</v>
      </c>
      <c r="H479">
        <v>31952.76</v>
      </c>
      <c r="I479">
        <v>0</v>
      </c>
      <c r="J479">
        <v>73</v>
      </c>
      <c r="K479" t="s">
        <v>2558</v>
      </c>
    </row>
    <row r="480" spans="1:11">
      <c r="A480" t="s">
        <v>2631</v>
      </c>
      <c r="B480" t="s">
        <v>833</v>
      </c>
      <c r="C480" t="s">
        <v>2580</v>
      </c>
      <c r="D480" s="1">
        <v>46178</v>
      </c>
      <c r="E480" s="1">
        <v>46193</v>
      </c>
      <c r="F480">
        <v>22799.34</v>
      </c>
      <c r="G480" t="s">
        <v>2557</v>
      </c>
      <c r="H480">
        <v>22799.34</v>
      </c>
      <c r="I480">
        <v>0</v>
      </c>
      <c r="J480">
        <v>72</v>
      </c>
      <c r="K480" t="s">
        <v>2558</v>
      </c>
    </row>
    <row r="481" spans="1:11">
      <c r="A481" t="s">
        <v>2631</v>
      </c>
      <c r="B481" t="s">
        <v>835</v>
      </c>
      <c r="C481" t="s">
        <v>2577</v>
      </c>
      <c r="D481" s="1">
        <v>46183</v>
      </c>
      <c r="E481" s="1">
        <v>46213</v>
      </c>
      <c r="F481">
        <v>236969.68</v>
      </c>
      <c r="G481" t="s">
        <v>2562</v>
      </c>
      <c r="H481">
        <v>236969.68</v>
      </c>
      <c r="I481">
        <v>0</v>
      </c>
      <c r="J481">
        <v>52</v>
      </c>
      <c r="K481" t="s">
        <v>2558</v>
      </c>
    </row>
    <row r="482" spans="1:11">
      <c r="A482" t="s">
        <v>2614</v>
      </c>
      <c r="B482" t="s">
        <v>1308</v>
      </c>
      <c r="C482" t="s">
        <v>2576</v>
      </c>
      <c r="D482" s="1">
        <v>46153</v>
      </c>
      <c r="E482" s="1">
        <v>46198</v>
      </c>
      <c r="F482">
        <v>96112.26</v>
      </c>
      <c r="G482" t="s">
        <v>2566</v>
      </c>
      <c r="H482">
        <v>96112.26</v>
      </c>
      <c r="I482">
        <v>0</v>
      </c>
      <c r="J482">
        <v>67</v>
      </c>
      <c r="K482" t="s">
        <v>2558</v>
      </c>
    </row>
    <row r="483" spans="1:11">
      <c r="A483" t="s">
        <v>2614</v>
      </c>
      <c r="B483" t="s">
        <v>1583</v>
      </c>
      <c r="C483" t="s">
        <v>2576</v>
      </c>
      <c r="D483" s="1">
        <v>46153</v>
      </c>
      <c r="E483" s="1">
        <v>46198</v>
      </c>
      <c r="F483">
        <v>545048.31999999995</v>
      </c>
      <c r="G483" t="s">
        <v>2566</v>
      </c>
      <c r="H483">
        <v>545048.31999999995</v>
      </c>
      <c r="I483">
        <v>0</v>
      </c>
      <c r="J483">
        <v>67</v>
      </c>
      <c r="K483" t="s">
        <v>2558</v>
      </c>
    </row>
    <row r="484" spans="1:11">
      <c r="A484" t="s">
        <v>2614</v>
      </c>
      <c r="B484" t="s">
        <v>2291</v>
      </c>
      <c r="C484" t="s">
        <v>2604</v>
      </c>
      <c r="D484" s="1">
        <v>46153</v>
      </c>
      <c r="E484" s="1">
        <v>46198</v>
      </c>
      <c r="F484">
        <v>104383.45</v>
      </c>
      <c r="G484" t="s">
        <v>2562</v>
      </c>
      <c r="H484">
        <v>68797.100000000006</v>
      </c>
      <c r="I484">
        <v>35586.35</v>
      </c>
      <c r="J484">
        <v>67</v>
      </c>
      <c r="K484" t="s">
        <v>2609</v>
      </c>
    </row>
    <row r="485" spans="1:11">
      <c r="A485" t="s">
        <v>2614</v>
      </c>
      <c r="B485" t="s">
        <v>845</v>
      </c>
      <c r="C485" t="s">
        <v>2582</v>
      </c>
      <c r="D485" s="1">
        <v>46165</v>
      </c>
      <c r="E485" s="1">
        <v>46195</v>
      </c>
      <c r="F485">
        <v>248265.55</v>
      </c>
      <c r="G485" t="s">
        <v>2557</v>
      </c>
      <c r="H485">
        <v>248265.55</v>
      </c>
      <c r="I485">
        <v>0</v>
      </c>
      <c r="J485">
        <v>70</v>
      </c>
      <c r="K485" t="s">
        <v>2558</v>
      </c>
    </row>
    <row r="486" spans="1:11">
      <c r="A486" t="s">
        <v>2631</v>
      </c>
      <c r="B486" t="s">
        <v>848</v>
      </c>
      <c r="C486" t="s">
        <v>2623</v>
      </c>
      <c r="D486" s="1">
        <v>46181</v>
      </c>
      <c r="E486" s="1">
        <v>46211</v>
      </c>
      <c r="F486">
        <v>62011.81</v>
      </c>
      <c r="G486" t="s">
        <v>2562</v>
      </c>
      <c r="H486">
        <v>62011.81</v>
      </c>
      <c r="I486">
        <v>0</v>
      </c>
      <c r="J486">
        <v>54</v>
      </c>
      <c r="K486" t="s">
        <v>2558</v>
      </c>
    </row>
    <row r="487" spans="1:11">
      <c r="A487" t="s">
        <v>2614</v>
      </c>
      <c r="B487" t="s">
        <v>2638</v>
      </c>
      <c r="C487" t="s">
        <v>2582</v>
      </c>
      <c r="D487" s="1">
        <v>46153</v>
      </c>
      <c r="E487" s="1">
        <v>46183</v>
      </c>
      <c r="F487">
        <v>350011.35</v>
      </c>
      <c r="G487" t="s">
        <v>2557</v>
      </c>
      <c r="I487">
        <v>350011.35</v>
      </c>
      <c r="J487">
        <v>82</v>
      </c>
      <c r="K487" t="s">
        <v>2609</v>
      </c>
    </row>
    <row r="488" spans="1:11">
      <c r="A488" t="s">
        <v>2631</v>
      </c>
      <c r="B488" t="s">
        <v>850</v>
      </c>
      <c r="C488" t="s">
        <v>2572</v>
      </c>
      <c r="D488" s="1">
        <v>46184</v>
      </c>
      <c r="E488" s="1">
        <v>46199</v>
      </c>
      <c r="F488">
        <v>73398.320000000007</v>
      </c>
      <c r="G488" t="s">
        <v>2557</v>
      </c>
      <c r="H488">
        <v>73398.319999999992</v>
      </c>
      <c r="I488">
        <v>0</v>
      </c>
      <c r="J488">
        <v>66</v>
      </c>
      <c r="K488" t="s">
        <v>2558</v>
      </c>
    </row>
    <row r="489" spans="1:11">
      <c r="A489" t="s">
        <v>2631</v>
      </c>
      <c r="B489" t="s">
        <v>852</v>
      </c>
      <c r="C489" t="s">
        <v>2592</v>
      </c>
      <c r="D489" s="1">
        <v>46191</v>
      </c>
      <c r="E489" s="1">
        <v>46221</v>
      </c>
      <c r="F489">
        <v>67324.83</v>
      </c>
      <c r="G489" t="s">
        <v>2562</v>
      </c>
      <c r="H489">
        <v>67324.829999999987</v>
      </c>
      <c r="I489">
        <v>0</v>
      </c>
      <c r="J489">
        <v>44</v>
      </c>
      <c r="K489" t="s">
        <v>2558</v>
      </c>
    </row>
    <row r="490" spans="1:11">
      <c r="A490" t="s">
        <v>2614</v>
      </c>
      <c r="B490" t="s">
        <v>2456</v>
      </c>
      <c r="C490" t="s">
        <v>2564</v>
      </c>
      <c r="D490" s="1">
        <v>46154</v>
      </c>
      <c r="E490" s="1">
        <v>46214</v>
      </c>
      <c r="F490">
        <v>629125.32999999996</v>
      </c>
      <c r="G490" t="s">
        <v>2562</v>
      </c>
      <c r="H490">
        <v>629125.32999999996</v>
      </c>
      <c r="I490">
        <v>0</v>
      </c>
      <c r="J490">
        <v>51</v>
      </c>
      <c r="K490" t="s">
        <v>2558</v>
      </c>
    </row>
    <row r="491" spans="1:11">
      <c r="A491" t="s">
        <v>2614</v>
      </c>
      <c r="B491" t="s">
        <v>2145</v>
      </c>
      <c r="C491" t="s">
        <v>2573</v>
      </c>
      <c r="D491" s="1">
        <v>46154</v>
      </c>
      <c r="E491" s="1">
        <v>46184</v>
      </c>
      <c r="F491">
        <v>29053.65</v>
      </c>
      <c r="G491" t="s">
        <v>2574</v>
      </c>
      <c r="H491">
        <v>29053.65</v>
      </c>
      <c r="I491">
        <v>0</v>
      </c>
      <c r="J491">
        <v>81</v>
      </c>
      <c r="K491" t="s">
        <v>2558</v>
      </c>
    </row>
    <row r="492" spans="1:11">
      <c r="A492" t="s">
        <v>2614</v>
      </c>
      <c r="B492" t="s">
        <v>856</v>
      </c>
      <c r="C492" t="s">
        <v>2585</v>
      </c>
      <c r="D492" s="1">
        <v>46154</v>
      </c>
      <c r="E492" s="1">
        <v>46184</v>
      </c>
      <c r="F492">
        <v>400952.56</v>
      </c>
      <c r="G492" t="s">
        <v>2562</v>
      </c>
      <c r="H492">
        <v>217081.93</v>
      </c>
      <c r="I492">
        <v>183870.63</v>
      </c>
      <c r="J492">
        <v>81</v>
      </c>
      <c r="K492" t="s">
        <v>2609</v>
      </c>
    </row>
    <row r="493" spans="1:11">
      <c r="A493" t="s">
        <v>2614</v>
      </c>
      <c r="B493" t="s">
        <v>1585</v>
      </c>
      <c r="C493" t="s">
        <v>2556</v>
      </c>
      <c r="D493" s="1">
        <v>46154</v>
      </c>
      <c r="E493" s="1">
        <v>46184</v>
      </c>
      <c r="F493">
        <v>101149.25</v>
      </c>
      <c r="G493" t="s">
        <v>2557</v>
      </c>
      <c r="H493">
        <v>101149.25</v>
      </c>
      <c r="I493">
        <v>0</v>
      </c>
      <c r="J493">
        <v>81</v>
      </c>
      <c r="K493" t="s">
        <v>2558</v>
      </c>
    </row>
    <row r="494" spans="1:11">
      <c r="A494" t="s">
        <v>2614</v>
      </c>
      <c r="B494" t="s">
        <v>858</v>
      </c>
      <c r="C494" t="s">
        <v>2576</v>
      </c>
      <c r="D494" s="1">
        <v>46154</v>
      </c>
      <c r="E494" s="1">
        <v>46199</v>
      </c>
      <c r="F494">
        <v>367756.17</v>
      </c>
      <c r="G494" t="s">
        <v>2566</v>
      </c>
      <c r="H494">
        <v>367756.17</v>
      </c>
      <c r="I494">
        <v>0</v>
      </c>
      <c r="J494">
        <v>66</v>
      </c>
      <c r="K494" t="s">
        <v>2558</v>
      </c>
    </row>
    <row r="495" spans="1:11">
      <c r="A495" t="s">
        <v>2614</v>
      </c>
      <c r="B495" t="s">
        <v>860</v>
      </c>
      <c r="C495" t="s">
        <v>2576</v>
      </c>
      <c r="D495" s="1">
        <v>46155</v>
      </c>
      <c r="E495" s="1">
        <v>46200</v>
      </c>
      <c r="F495">
        <v>441729.15</v>
      </c>
      <c r="G495" t="s">
        <v>2566</v>
      </c>
      <c r="H495">
        <v>441729.15</v>
      </c>
      <c r="I495">
        <v>0</v>
      </c>
      <c r="J495">
        <v>65</v>
      </c>
      <c r="K495" t="s">
        <v>2558</v>
      </c>
    </row>
    <row r="496" spans="1:11">
      <c r="A496" t="s">
        <v>2614</v>
      </c>
      <c r="B496" t="s">
        <v>862</v>
      </c>
      <c r="C496" t="s">
        <v>2613</v>
      </c>
      <c r="D496" s="1">
        <v>46169</v>
      </c>
      <c r="E496" s="1">
        <v>46229</v>
      </c>
      <c r="F496">
        <v>127545.42</v>
      </c>
      <c r="G496" t="s">
        <v>2560</v>
      </c>
      <c r="H496">
        <v>127545.42</v>
      </c>
      <c r="I496">
        <v>0</v>
      </c>
      <c r="J496">
        <v>36</v>
      </c>
      <c r="K496" t="s">
        <v>2558</v>
      </c>
    </row>
    <row r="497" spans="1:11">
      <c r="A497" t="s">
        <v>2614</v>
      </c>
      <c r="B497" t="s">
        <v>864</v>
      </c>
      <c r="C497" t="s">
        <v>2594</v>
      </c>
      <c r="D497" s="1">
        <v>46171</v>
      </c>
      <c r="E497" s="1">
        <v>46201</v>
      </c>
      <c r="F497">
        <v>629754.71</v>
      </c>
      <c r="G497" t="s">
        <v>2557</v>
      </c>
      <c r="H497">
        <v>629754.71</v>
      </c>
      <c r="I497">
        <v>0</v>
      </c>
      <c r="J497">
        <v>64</v>
      </c>
      <c r="K497" t="s">
        <v>2558</v>
      </c>
    </row>
    <row r="498" spans="1:11">
      <c r="A498" t="s">
        <v>2614</v>
      </c>
      <c r="B498" t="s">
        <v>866</v>
      </c>
      <c r="C498" t="s">
        <v>2587</v>
      </c>
      <c r="D498" s="1">
        <v>46173</v>
      </c>
      <c r="E498" s="1">
        <v>46233</v>
      </c>
      <c r="F498">
        <v>134861.24</v>
      </c>
      <c r="G498" t="s">
        <v>2568</v>
      </c>
      <c r="H498">
        <v>88403.66</v>
      </c>
      <c r="I498">
        <v>46457.58</v>
      </c>
      <c r="J498">
        <v>32</v>
      </c>
      <c r="K498" t="s">
        <v>2636</v>
      </c>
    </row>
    <row r="499" spans="1:11">
      <c r="A499" t="s">
        <v>2631</v>
      </c>
      <c r="B499" t="s">
        <v>868</v>
      </c>
      <c r="C499" t="s">
        <v>2593</v>
      </c>
      <c r="D499" s="1">
        <v>46176</v>
      </c>
      <c r="E499" s="1">
        <v>46206</v>
      </c>
      <c r="F499">
        <v>15743.8</v>
      </c>
      <c r="G499" t="s">
        <v>2574</v>
      </c>
      <c r="H499">
        <v>15743.8</v>
      </c>
      <c r="I499">
        <v>0</v>
      </c>
      <c r="J499">
        <v>59</v>
      </c>
      <c r="K499" t="s">
        <v>2558</v>
      </c>
    </row>
    <row r="500" spans="1:11">
      <c r="A500" t="s">
        <v>2631</v>
      </c>
      <c r="B500" t="s">
        <v>870</v>
      </c>
      <c r="C500" t="s">
        <v>2575</v>
      </c>
      <c r="D500" s="1">
        <v>46179</v>
      </c>
      <c r="E500" s="1">
        <v>46194</v>
      </c>
      <c r="F500">
        <v>25928.639999999999</v>
      </c>
      <c r="G500" t="s">
        <v>2574</v>
      </c>
      <c r="H500">
        <v>25928.639999999999</v>
      </c>
      <c r="I500">
        <v>0</v>
      </c>
      <c r="J500">
        <v>71</v>
      </c>
      <c r="K500" t="s">
        <v>2558</v>
      </c>
    </row>
    <row r="501" spans="1:11">
      <c r="A501" t="s">
        <v>2631</v>
      </c>
      <c r="B501" t="s">
        <v>872</v>
      </c>
      <c r="C501" t="s">
        <v>2588</v>
      </c>
      <c r="D501" s="1">
        <v>46180</v>
      </c>
      <c r="E501" s="1">
        <v>46210</v>
      </c>
      <c r="F501">
        <v>62714.21</v>
      </c>
      <c r="G501" t="s">
        <v>2562</v>
      </c>
      <c r="H501">
        <v>62714.21</v>
      </c>
      <c r="I501">
        <v>0</v>
      </c>
      <c r="J501">
        <v>55</v>
      </c>
      <c r="K501" t="s">
        <v>2558</v>
      </c>
    </row>
    <row r="502" spans="1:11">
      <c r="A502" t="s">
        <v>2614</v>
      </c>
      <c r="B502" t="s">
        <v>2346</v>
      </c>
      <c r="C502" t="s">
        <v>2569</v>
      </c>
      <c r="D502" s="1">
        <v>46154</v>
      </c>
      <c r="E502" s="1">
        <v>46169</v>
      </c>
      <c r="F502">
        <v>51534.36</v>
      </c>
      <c r="G502" t="s">
        <v>2557</v>
      </c>
      <c r="H502">
        <v>51534.36</v>
      </c>
      <c r="I502">
        <v>0</v>
      </c>
      <c r="J502">
        <v>96</v>
      </c>
      <c r="K502" t="s">
        <v>2558</v>
      </c>
    </row>
    <row r="503" spans="1:11">
      <c r="A503" t="s">
        <v>2614</v>
      </c>
      <c r="B503" t="s">
        <v>950</v>
      </c>
      <c r="C503" t="s">
        <v>2576</v>
      </c>
      <c r="D503" s="1">
        <v>46155</v>
      </c>
      <c r="E503" s="1">
        <v>46200</v>
      </c>
      <c r="F503">
        <v>548878.47</v>
      </c>
      <c r="G503" t="s">
        <v>2566</v>
      </c>
      <c r="H503">
        <v>548878.47</v>
      </c>
      <c r="I503">
        <v>0</v>
      </c>
      <c r="J503">
        <v>65</v>
      </c>
      <c r="K503" t="s">
        <v>2558</v>
      </c>
    </row>
    <row r="504" spans="1:11">
      <c r="A504" t="s">
        <v>2614</v>
      </c>
      <c r="B504" t="s">
        <v>884</v>
      </c>
      <c r="C504" t="s">
        <v>2611</v>
      </c>
      <c r="D504" s="1">
        <v>46163</v>
      </c>
      <c r="E504" s="1">
        <v>46208</v>
      </c>
      <c r="F504">
        <v>693618.24</v>
      </c>
      <c r="G504" t="s">
        <v>2566</v>
      </c>
      <c r="H504">
        <v>693618.24</v>
      </c>
      <c r="I504">
        <v>0</v>
      </c>
      <c r="J504">
        <v>57</v>
      </c>
      <c r="K504" t="s">
        <v>2558</v>
      </c>
    </row>
    <row r="505" spans="1:11">
      <c r="A505" t="s">
        <v>2614</v>
      </c>
      <c r="B505" t="s">
        <v>886</v>
      </c>
      <c r="C505" t="s">
        <v>2579</v>
      </c>
      <c r="D505" s="1">
        <v>46172</v>
      </c>
      <c r="E505" s="1">
        <v>46202</v>
      </c>
      <c r="F505">
        <v>1014618.66</v>
      </c>
      <c r="G505" t="s">
        <v>2557</v>
      </c>
      <c r="H505">
        <v>1014618.66</v>
      </c>
      <c r="I505">
        <v>0</v>
      </c>
      <c r="J505">
        <v>63</v>
      </c>
      <c r="K505" t="s">
        <v>2558</v>
      </c>
    </row>
    <row r="506" spans="1:11">
      <c r="A506" t="s">
        <v>2614</v>
      </c>
      <c r="B506" t="s">
        <v>952</v>
      </c>
      <c r="C506" t="s">
        <v>2601</v>
      </c>
      <c r="D506" s="1">
        <v>46155</v>
      </c>
      <c r="E506" s="1">
        <v>46185</v>
      </c>
      <c r="F506">
        <v>73227.23</v>
      </c>
      <c r="G506" t="s">
        <v>2574</v>
      </c>
      <c r="H506">
        <v>73227.23</v>
      </c>
      <c r="I506">
        <v>0</v>
      </c>
      <c r="J506">
        <v>80</v>
      </c>
      <c r="K506" t="s">
        <v>2558</v>
      </c>
    </row>
    <row r="507" spans="1:11">
      <c r="A507" t="s">
        <v>2631</v>
      </c>
      <c r="B507" t="s">
        <v>888</v>
      </c>
      <c r="C507" t="s">
        <v>2588</v>
      </c>
      <c r="D507" s="1">
        <v>46175</v>
      </c>
      <c r="E507" s="1">
        <v>46205</v>
      </c>
      <c r="F507">
        <v>43707.519999999997</v>
      </c>
      <c r="G507" t="s">
        <v>2562</v>
      </c>
      <c r="H507">
        <v>43707.519999999997</v>
      </c>
      <c r="I507">
        <v>0</v>
      </c>
      <c r="J507">
        <v>60</v>
      </c>
      <c r="K507" t="s">
        <v>2558</v>
      </c>
    </row>
    <row r="508" spans="1:11">
      <c r="A508" t="s">
        <v>2614</v>
      </c>
      <c r="B508" t="s">
        <v>1250</v>
      </c>
      <c r="C508" t="s">
        <v>2569</v>
      </c>
      <c r="D508" s="1">
        <v>46155</v>
      </c>
      <c r="E508" s="1">
        <v>46170</v>
      </c>
      <c r="F508">
        <v>31970.91</v>
      </c>
      <c r="G508" t="s">
        <v>2557</v>
      </c>
      <c r="H508">
        <v>31970.91</v>
      </c>
      <c r="I508">
        <v>0</v>
      </c>
      <c r="J508">
        <v>95</v>
      </c>
      <c r="K508" t="s">
        <v>2558</v>
      </c>
    </row>
    <row r="509" spans="1:11">
      <c r="A509" t="s">
        <v>2631</v>
      </c>
      <c r="B509" t="s">
        <v>890</v>
      </c>
      <c r="C509" t="s">
        <v>2590</v>
      </c>
      <c r="D509" s="1">
        <v>46177</v>
      </c>
      <c r="E509" s="1">
        <v>46207</v>
      </c>
      <c r="F509">
        <v>42357.94</v>
      </c>
      <c r="G509" t="s">
        <v>2562</v>
      </c>
      <c r="H509">
        <v>42357.94</v>
      </c>
      <c r="I509">
        <v>0</v>
      </c>
      <c r="J509">
        <v>58</v>
      </c>
      <c r="K509" t="s">
        <v>2558</v>
      </c>
    </row>
    <row r="510" spans="1:11">
      <c r="A510" t="s">
        <v>2631</v>
      </c>
      <c r="B510" t="s">
        <v>892</v>
      </c>
      <c r="C510" t="s">
        <v>2575</v>
      </c>
      <c r="D510" s="1">
        <v>46179</v>
      </c>
      <c r="E510" s="1">
        <v>46194</v>
      </c>
      <c r="F510">
        <v>52923.07</v>
      </c>
      <c r="G510" t="s">
        <v>2574</v>
      </c>
      <c r="H510">
        <v>52923.07</v>
      </c>
      <c r="I510">
        <v>0</v>
      </c>
      <c r="J510">
        <v>71</v>
      </c>
      <c r="K510" t="s">
        <v>2558</v>
      </c>
    </row>
    <row r="511" spans="1:11">
      <c r="A511" t="s">
        <v>2614</v>
      </c>
      <c r="B511" t="s">
        <v>2639</v>
      </c>
      <c r="C511" t="s">
        <v>2593</v>
      </c>
      <c r="D511" s="1">
        <v>46155</v>
      </c>
      <c r="E511" s="1">
        <v>46185</v>
      </c>
      <c r="F511">
        <v>19249.23</v>
      </c>
      <c r="G511" t="s">
        <v>2574</v>
      </c>
      <c r="I511">
        <v>19249.23</v>
      </c>
      <c r="J511">
        <v>80</v>
      </c>
      <c r="K511" t="s">
        <v>2609</v>
      </c>
    </row>
    <row r="512" spans="1:11">
      <c r="A512" t="s">
        <v>2631</v>
      </c>
      <c r="B512" t="s">
        <v>894</v>
      </c>
      <c r="C512" t="s">
        <v>2569</v>
      </c>
      <c r="D512" s="1">
        <v>46183</v>
      </c>
      <c r="E512" s="1">
        <v>46198</v>
      </c>
      <c r="F512">
        <v>61381.15</v>
      </c>
      <c r="G512" t="s">
        <v>2557</v>
      </c>
      <c r="H512">
        <v>61381.15</v>
      </c>
      <c r="I512">
        <v>0</v>
      </c>
      <c r="J512">
        <v>67</v>
      </c>
      <c r="K512" t="s">
        <v>2558</v>
      </c>
    </row>
    <row r="513" spans="1:11">
      <c r="A513" t="s">
        <v>2614</v>
      </c>
      <c r="B513" t="s">
        <v>1420</v>
      </c>
      <c r="C513" t="s">
        <v>2594</v>
      </c>
      <c r="D513" s="1">
        <v>46155</v>
      </c>
      <c r="E513" s="1">
        <v>46185</v>
      </c>
      <c r="F513">
        <v>254570.1</v>
      </c>
      <c r="G513" t="s">
        <v>2557</v>
      </c>
      <c r="H513">
        <v>254570.1</v>
      </c>
      <c r="I513">
        <v>0</v>
      </c>
      <c r="J513">
        <v>80</v>
      </c>
      <c r="K513" t="s">
        <v>2558</v>
      </c>
    </row>
    <row r="514" spans="1:11">
      <c r="A514" t="s">
        <v>2614</v>
      </c>
      <c r="B514" t="s">
        <v>900</v>
      </c>
      <c r="C514" t="s">
        <v>2567</v>
      </c>
      <c r="D514" s="1">
        <v>46157</v>
      </c>
      <c r="E514" s="1">
        <v>46202</v>
      </c>
      <c r="F514">
        <v>233623.98</v>
      </c>
      <c r="G514" t="s">
        <v>2568</v>
      </c>
      <c r="H514">
        <v>233623.98</v>
      </c>
      <c r="I514">
        <v>0</v>
      </c>
      <c r="J514">
        <v>63</v>
      </c>
      <c r="K514" t="s">
        <v>2558</v>
      </c>
    </row>
    <row r="515" spans="1:11">
      <c r="A515" t="s">
        <v>2614</v>
      </c>
      <c r="B515" t="s">
        <v>1142</v>
      </c>
      <c r="C515" t="s">
        <v>2640</v>
      </c>
      <c r="D515" s="1">
        <v>46156</v>
      </c>
      <c r="E515" s="1">
        <v>46216</v>
      </c>
      <c r="F515">
        <v>158685.23000000001</v>
      </c>
      <c r="G515" t="s">
        <v>2560</v>
      </c>
      <c r="H515">
        <v>158685.23000000001</v>
      </c>
      <c r="I515">
        <v>0</v>
      </c>
      <c r="J515">
        <v>49</v>
      </c>
      <c r="K515" t="s">
        <v>2558</v>
      </c>
    </row>
    <row r="516" spans="1:11">
      <c r="A516" t="s">
        <v>2614</v>
      </c>
      <c r="B516" t="s">
        <v>903</v>
      </c>
      <c r="C516" t="s">
        <v>2604</v>
      </c>
      <c r="D516" s="1">
        <v>46161</v>
      </c>
      <c r="E516" s="1">
        <v>46206</v>
      </c>
      <c r="F516">
        <v>280496.21000000002</v>
      </c>
      <c r="G516" t="s">
        <v>2562</v>
      </c>
      <c r="H516">
        <v>280496.21000000002</v>
      </c>
      <c r="I516">
        <v>0</v>
      </c>
      <c r="J516">
        <v>59</v>
      </c>
      <c r="K516" t="s">
        <v>2558</v>
      </c>
    </row>
    <row r="517" spans="1:11">
      <c r="A517" t="s">
        <v>2614</v>
      </c>
      <c r="B517" t="s">
        <v>2181</v>
      </c>
      <c r="C517" t="s">
        <v>2602</v>
      </c>
      <c r="D517" s="1">
        <v>46156</v>
      </c>
      <c r="E517" s="1">
        <v>46216</v>
      </c>
      <c r="F517">
        <v>304742.81</v>
      </c>
      <c r="G517" t="s">
        <v>2562</v>
      </c>
      <c r="H517">
        <v>304742.81</v>
      </c>
      <c r="I517">
        <v>0</v>
      </c>
      <c r="J517">
        <v>49</v>
      </c>
      <c r="K517" t="s">
        <v>2558</v>
      </c>
    </row>
    <row r="518" spans="1:11">
      <c r="A518" t="s">
        <v>2614</v>
      </c>
      <c r="B518" t="s">
        <v>905</v>
      </c>
      <c r="C518" t="s">
        <v>2582</v>
      </c>
      <c r="D518" s="1">
        <v>46161</v>
      </c>
      <c r="E518" s="1">
        <v>46191</v>
      </c>
      <c r="F518">
        <v>62629.440000000002</v>
      </c>
      <c r="G518" t="s">
        <v>2557</v>
      </c>
      <c r="H518">
        <v>62629.440000000002</v>
      </c>
      <c r="I518">
        <v>0</v>
      </c>
      <c r="J518">
        <v>74</v>
      </c>
      <c r="K518" t="s">
        <v>2558</v>
      </c>
    </row>
    <row r="519" spans="1:11">
      <c r="A519" t="s">
        <v>2614</v>
      </c>
      <c r="B519" t="s">
        <v>1733</v>
      </c>
      <c r="C519" t="s">
        <v>2613</v>
      </c>
      <c r="D519" s="1">
        <v>46156</v>
      </c>
      <c r="E519" s="1">
        <v>46216</v>
      </c>
      <c r="F519">
        <v>153163.4</v>
      </c>
      <c r="G519" t="s">
        <v>2560</v>
      </c>
      <c r="H519">
        <v>153163.4</v>
      </c>
      <c r="I519">
        <v>0</v>
      </c>
      <c r="J519">
        <v>49</v>
      </c>
      <c r="K519" t="s">
        <v>2558</v>
      </c>
    </row>
    <row r="520" spans="1:11">
      <c r="A520" t="s">
        <v>2614</v>
      </c>
      <c r="B520" t="s">
        <v>908</v>
      </c>
      <c r="C520" t="s">
        <v>2567</v>
      </c>
      <c r="D520" s="1">
        <v>46168</v>
      </c>
      <c r="E520" s="1">
        <v>46213</v>
      </c>
      <c r="F520">
        <v>1061018.58</v>
      </c>
      <c r="G520" t="s">
        <v>2568</v>
      </c>
      <c r="H520">
        <v>1061018.58</v>
      </c>
      <c r="I520">
        <v>0</v>
      </c>
      <c r="J520">
        <v>52</v>
      </c>
      <c r="K520" t="s">
        <v>2558</v>
      </c>
    </row>
    <row r="521" spans="1:11">
      <c r="A521" t="s">
        <v>2614</v>
      </c>
      <c r="B521" t="s">
        <v>2641</v>
      </c>
      <c r="C521" t="s">
        <v>2580</v>
      </c>
      <c r="D521" s="1">
        <v>46156</v>
      </c>
      <c r="E521" s="1">
        <v>46171</v>
      </c>
      <c r="F521">
        <v>73758.95</v>
      </c>
      <c r="G521" t="s">
        <v>2557</v>
      </c>
      <c r="I521">
        <v>73758.95</v>
      </c>
      <c r="J521">
        <v>94</v>
      </c>
      <c r="K521" t="s">
        <v>2563</v>
      </c>
    </row>
    <row r="522" spans="1:11">
      <c r="A522" t="s">
        <v>2614</v>
      </c>
      <c r="B522" t="s">
        <v>910</v>
      </c>
      <c r="C522" t="s">
        <v>2611</v>
      </c>
      <c r="D522" s="1">
        <v>46170</v>
      </c>
      <c r="E522" s="1">
        <v>46215</v>
      </c>
      <c r="F522">
        <v>205074.12</v>
      </c>
      <c r="G522" t="s">
        <v>2566</v>
      </c>
      <c r="H522">
        <v>205074.12</v>
      </c>
      <c r="I522">
        <v>0</v>
      </c>
      <c r="J522">
        <v>50</v>
      </c>
      <c r="K522" t="s">
        <v>2558</v>
      </c>
    </row>
    <row r="523" spans="1:11">
      <c r="A523" t="s">
        <v>2614</v>
      </c>
      <c r="B523" t="s">
        <v>2642</v>
      </c>
      <c r="C523" t="s">
        <v>2573</v>
      </c>
      <c r="D523" s="1">
        <v>46156</v>
      </c>
      <c r="E523" s="1">
        <v>46186</v>
      </c>
      <c r="F523">
        <v>80048.259999999995</v>
      </c>
      <c r="G523" t="s">
        <v>2574</v>
      </c>
      <c r="I523">
        <v>80048.259999999995</v>
      </c>
      <c r="J523">
        <v>79</v>
      </c>
      <c r="K523" t="s">
        <v>2609</v>
      </c>
    </row>
    <row r="524" spans="1:11">
      <c r="A524" t="s">
        <v>2614</v>
      </c>
      <c r="B524" t="s">
        <v>912</v>
      </c>
      <c r="C524" t="s">
        <v>2582</v>
      </c>
      <c r="D524" s="1">
        <v>46172</v>
      </c>
      <c r="E524" s="1">
        <v>46202</v>
      </c>
      <c r="F524">
        <v>265875.95</v>
      </c>
      <c r="G524" t="s">
        <v>2557</v>
      </c>
      <c r="H524">
        <v>265875.95</v>
      </c>
      <c r="I524">
        <v>0</v>
      </c>
      <c r="J524">
        <v>63</v>
      </c>
      <c r="K524" t="s">
        <v>2558</v>
      </c>
    </row>
    <row r="525" spans="1:11">
      <c r="A525" t="s">
        <v>2631</v>
      </c>
      <c r="B525" t="s">
        <v>914</v>
      </c>
      <c r="C525" t="s">
        <v>2612</v>
      </c>
      <c r="D525" s="1">
        <v>46174</v>
      </c>
      <c r="E525" s="1">
        <v>46204</v>
      </c>
      <c r="F525">
        <v>226596.1</v>
      </c>
      <c r="G525" t="s">
        <v>2566</v>
      </c>
      <c r="H525">
        <v>226596.1</v>
      </c>
      <c r="I525">
        <v>0</v>
      </c>
      <c r="J525">
        <v>61</v>
      </c>
      <c r="K525" t="s">
        <v>2558</v>
      </c>
    </row>
    <row r="526" spans="1:11">
      <c r="A526" t="s">
        <v>2614</v>
      </c>
      <c r="B526" t="s">
        <v>2293</v>
      </c>
      <c r="C526" t="s">
        <v>2579</v>
      </c>
      <c r="D526" s="1">
        <v>46156</v>
      </c>
      <c r="E526" s="1">
        <v>46186</v>
      </c>
      <c r="F526">
        <v>68199.31</v>
      </c>
      <c r="G526" t="s">
        <v>2557</v>
      </c>
      <c r="H526">
        <v>68199.31</v>
      </c>
      <c r="I526">
        <v>0</v>
      </c>
      <c r="J526">
        <v>79</v>
      </c>
      <c r="K526" t="s">
        <v>2558</v>
      </c>
    </row>
    <row r="527" spans="1:11">
      <c r="A527" t="s">
        <v>2631</v>
      </c>
      <c r="B527" t="s">
        <v>916</v>
      </c>
      <c r="C527" t="s">
        <v>2593</v>
      </c>
      <c r="D527" s="1">
        <v>46175</v>
      </c>
      <c r="E527" s="1">
        <v>46205</v>
      </c>
      <c r="F527">
        <v>5017.12</v>
      </c>
      <c r="G527" t="s">
        <v>2574</v>
      </c>
      <c r="H527">
        <v>5017.12</v>
      </c>
      <c r="I527">
        <v>0</v>
      </c>
      <c r="J527">
        <v>60</v>
      </c>
      <c r="K527" t="s">
        <v>2558</v>
      </c>
    </row>
    <row r="528" spans="1:11">
      <c r="A528" t="s">
        <v>2614</v>
      </c>
      <c r="B528" t="s">
        <v>1974</v>
      </c>
      <c r="C528" t="s">
        <v>2587</v>
      </c>
      <c r="D528" s="1">
        <v>46156</v>
      </c>
      <c r="E528" s="1">
        <v>46216</v>
      </c>
      <c r="F528">
        <v>1646635.62</v>
      </c>
      <c r="G528" t="s">
        <v>2568</v>
      </c>
      <c r="H528">
        <v>1646635.62</v>
      </c>
      <c r="I528">
        <v>0</v>
      </c>
      <c r="J528">
        <v>49</v>
      </c>
      <c r="K528" t="s">
        <v>2558</v>
      </c>
    </row>
    <row r="529" spans="1:11">
      <c r="A529" t="s">
        <v>2631</v>
      </c>
      <c r="B529" t="s">
        <v>918</v>
      </c>
      <c r="C529" t="s">
        <v>2559</v>
      </c>
      <c r="D529" s="1">
        <v>46181</v>
      </c>
      <c r="E529" s="1">
        <v>46196</v>
      </c>
      <c r="F529">
        <v>6795.51</v>
      </c>
      <c r="G529" t="s">
        <v>2560</v>
      </c>
      <c r="H529">
        <v>6795.51</v>
      </c>
      <c r="I529">
        <v>0</v>
      </c>
      <c r="J529">
        <v>69</v>
      </c>
      <c r="K529" t="s">
        <v>2558</v>
      </c>
    </row>
    <row r="530" spans="1:11">
      <c r="A530" t="s">
        <v>2614</v>
      </c>
      <c r="B530" t="s">
        <v>2147</v>
      </c>
      <c r="C530" t="s">
        <v>2571</v>
      </c>
      <c r="D530" s="1">
        <v>46156</v>
      </c>
      <c r="E530" s="1">
        <v>46201</v>
      </c>
      <c r="F530">
        <v>484926.36</v>
      </c>
      <c r="G530" t="s">
        <v>2568</v>
      </c>
      <c r="H530">
        <v>484926.36</v>
      </c>
      <c r="I530">
        <v>0</v>
      </c>
      <c r="J530">
        <v>64</v>
      </c>
      <c r="K530" t="s">
        <v>2558</v>
      </c>
    </row>
    <row r="531" spans="1:11">
      <c r="A531" t="s">
        <v>2631</v>
      </c>
      <c r="B531" t="s">
        <v>920</v>
      </c>
      <c r="C531" t="s">
        <v>2575</v>
      </c>
      <c r="D531" s="1">
        <v>46184</v>
      </c>
      <c r="E531" s="1">
        <v>46199</v>
      </c>
      <c r="F531">
        <v>71936.479999999996</v>
      </c>
      <c r="G531" t="s">
        <v>2574</v>
      </c>
      <c r="H531">
        <v>71936.479999999996</v>
      </c>
      <c r="I531">
        <v>0</v>
      </c>
      <c r="J531">
        <v>66</v>
      </c>
      <c r="K531" t="s">
        <v>2558</v>
      </c>
    </row>
    <row r="532" spans="1:11">
      <c r="A532" t="s">
        <v>2631</v>
      </c>
      <c r="B532" t="s">
        <v>922</v>
      </c>
      <c r="C532" t="s">
        <v>2604</v>
      </c>
      <c r="D532" s="1">
        <v>46184</v>
      </c>
      <c r="E532" s="1">
        <v>46229</v>
      </c>
      <c r="F532">
        <v>40968.879999999997</v>
      </c>
      <c r="G532" t="s">
        <v>2562</v>
      </c>
      <c r="H532">
        <v>40968.880000000005</v>
      </c>
      <c r="I532">
        <v>0</v>
      </c>
      <c r="J532">
        <v>36</v>
      </c>
      <c r="K532" t="s">
        <v>2558</v>
      </c>
    </row>
    <row r="533" spans="1:11">
      <c r="A533" t="s">
        <v>2614</v>
      </c>
      <c r="B533" t="s">
        <v>926</v>
      </c>
      <c r="C533" t="s">
        <v>2571</v>
      </c>
      <c r="D533" s="1">
        <v>46173</v>
      </c>
      <c r="E533" s="1">
        <v>46218</v>
      </c>
      <c r="F533">
        <v>804378.14</v>
      </c>
      <c r="G533" t="s">
        <v>2568</v>
      </c>
      <c r="H533">
        <v>804378.14</v>
      </c>
      <c r="I533">
        <v>0</v>
      </c>
      <c r="J533">
        <v>47</v>
      </c>
      <c r="K533" t="s">
        <v>2558</v>
      </c>
    </row>
    <row r="534" spans="1:11">
      <c r="A534" t="s">
        <v>2631</v>
      </c>
      <c r="B534" t="s">
        <v>928</v>
      </c>
      <c r="C534" t="s">
        <v>2588</v>
      </c>
      <c r="D534" s="1">
        <v>46174</v>
      </c>
      <c r="E534" s="1">
        <v>46204</v>
      </c>
      <c r="F534">
        <v>32175.37</v>
      </c>
      <c r="G534" t="s">
        <v>2562</v>
      </c>
      <c r="H534">
        <v>32175.37</v>
      </c>
      <c r="I534">
        <v>0</v>
      </c>
      <c r="J534">
        <v>61</v>
      </c>
      <c r="K534" t="s">
        <v>2558</v>
      </c>
    </row>
    <row r="535" spans="1:11">
      <c r="A535" t="s">
        <v>2614</v>
      </c>
      <c r="B535" t="s">
        <v>930</v>
      </c>
      <c r="C535" t="s">
        <v>2611</v>
      </c>
      <c r="D535" s="1">
        <v>46158</v>
      </c>
      <c r="E535" s="1">
        <v>46203</v>
      </c>
      <c r="F535">
        <v>903112.74</v>
      </c>
      <c r="G535" t="s">
        <v>2566</v>
      </c>
      <c r="H535">
        <v>903112.74</v>
      </c>
      <c r="I535">
        <v>0</v>
      </c>
      <c r="J535">
        <v>62</v>
      </c>
      <c r="K535" t="s">
        <v>2558</v>
      </c>
    </row>
    <row r="536" spans="1:11">
      <c r="A536" t="s">
        <v>2614</v>
      </c>
      <c r="B536" t="s">
        <v>932</v>
      </c>
      <c r="C536" t="s">
        <v>2599</v>
      </c>
      <c r="D536" s="1">
        <v>46159</v>
      </c>
      <c r="E536" s="1">
        <v>46219</v>
      </c>
      <c r="F536">
        <v>168201.88</v>
      </c>
      <c r="G536" t="s">
        <v>2562</v>
      </c>
      <c r="H536">
        <v>168201.88</v>
      </c>
      <c r="I536">
        <v>0</v>
      </c>
      <c r="J536">
        <v>46</v>
      </c>
      <c r="K536" t="s">
        <v>2558</v>
      </c>
    </row>
    <row r="537" spans="1:11">
      <c r="A537" t="s">
        <v>2614</v>
      </c>
      <c r="B537" t="s">
        <v>1553</v>
      </c>
      <c r="C537" t="s">
        <v>2590</v>
      </c>
      <c r="D537" s="1">
        <v>46157</v>
      </c>
      <c r="E537" s="1">
        <v>46187</v>
      </c>
      <c r="F537">
        <v>12941.32</v>
      </c>
      <c r="G537" t="s">
        <v>2562</v>
      </c>
      <c r="H537">
        <v>5004.04</v>
      </c>
      <c r="I537">
        <v>7937.28</v>
      </c>
      <c r="J537">
        <v>78</v>
      </c>
      <c r="K537" t="s">
        <v>2609</v>
      </c>
    </row>
    <row r="538" spans="1:11">
      <c r="A538" t="s">
        <v>2614</v>
      </c>
      <c r="B538" t="s">
        <v>934</v>
      </c>
      <c r="C538" t="s">
        <v>2564</v>
      </c>
      <c r="D538" s="1">
        <v>46159</v>
      </c>
      <c r="E538" s="1">
        <v>46219</v>
      </c>
      <c r="F538">
        <v>231039.14</v>
      </c>
      <c r="G538" t="s">
        <v>2562</v>
      </c>
      <c r="H538">
        <v>231039.14</v>
      </c>
      <c r="I538">
        <v>0</v>
      </c>
      <c r="J538">
        <v>46</v>
      </c>
      <c r="K538" t="s">
        <v>2558</v>
      </c>
    </row>
    <row r="539" spans="1:11">
      <c r="A539" t="s">
        <v>2614</v>
      </c>
      <c r="B539" t="s">
        <v>936</v>
      </c>
      <c r="C539" t="s">
        <v>2611</v>
      </c>
      <c r="D539" s="1">
        <v>46160</v>
      </c>
      <c r="E539" s="1">
        <v>46205</v>
      </c>
      <c r="F539">
        <v>177914.98</v>
      </c>
      <c r="G539" t="s">
        <v>2566</v>
      </c>
      <c r="H539">
        <v>177914.98</v>
      </c>
      <c r="I539">
        <v>0</v>
      </c>
      <c r="J539">
        <v>60</v>
      </c>
      <c r="K539" t="s">
        <v>2558</v>
      </c>
    </row>
    <row r="540" spans="1:11">
      <c r="A540" t="s">
        <v>2614</v>
      </c>
      <c r="B540" t="s">
        <v>2113</v>
      </c>
      <c r="C540" t="s">
        <v>2572</v>
      </c>
      <c r="D540" s="1">
        <v>46157</v>
      </c>
      <c r="E540" s="1">
        <v>46172</v>
      </c>
      <c r="F540">
        <v>42784.04</v>
      </c>
      <c r="G540" t="s">
        <v>2557</v>
      </c>
      <c r="H540">
        <v>42784.04</v>
      </c>
      <c r="I540">
        <v>0</v>
      </c>
      <c r="J540">
        <v>93</v>
      </c>
      <c r="K540" t="s">
        <v>2558</v>
      </c>
    </row>
    <row r="541" spans="1:11">
      <c r="A541" t="s">
        <v>2614</v>
      </c>
      <c r="B541" t="s">
        <v>938</v>
      </c>
      <c r="C541" t="s">
        <v>2567</v>
      </c>
      <c r="D541" s="1">
        <v>46161</v>
      </c>
      <c r="E541" s="1">
        <v>46206</v>
      </c>
      <c r="F541">
        <v>428875.04</v>
      </c>
      <c r="G541" t="s">
        <v>2568</v>
      </c>
      <c r="H541">
        <v>428875.04</v>
      </c>
      <c r="I541">
        <v>0</v>
      </c>
      <c r="J541">
        <v>59</v>
      </c>
      <c r="K541" t="s">
        <v>2558</v>
      </c>
    </row>
    <row r="542" spans="1:11">
      <c r="A542" t="s">
        <v>2614</v>
      </c>
      <c r="B542" t="s">
        <v>1422</v>
      </c>
      <c r="C542" t="s">
        <v>2611</v>
      </c>
      <c r="D542" s="1">
        <v>46158</v>
      </c>
      <c r="E542" s="1">
        <v>46203</v>
      </c>
      <c r="F542">
        <v>550652.22</v>
      </c>
      <c r="G542" t="s">
        <v>2566</v>
      </c>
      <c r="H542">
        <v>550652.22</v>
      </c>
      <c r="I542">
        <v>0</v>
      </c>
      <c r="J542">
        <v>62</v>
      </c>
      <c r="K542" t="s">
        <v>2558</v>
      </c>
    </row>
    <row r="543" spans="1:11">
      <c r="A543" t="s">
        <v>2614</v>
      </c>
      <c r="B543" t="s">
        <v>940</v>
      </c>
      <c r="C543" t="s">
        <v>2582</v>
      </c>
      <c r="D543" s="1">
        <v>46170</v>
      </c>
      <c r="E543" s="1">
        <v>46200</v>
      </c>
      <c r="F543">
        <v>65844.84</v>
      </c>
      <c r="G543" t="s">
        <v>2557</v>
      </c>
      <c r="H543">
        <v>65844.84</v>
      </c>
      <c r="I543">
        <v>0</v>
      </c>
      <c r="J543">
        <v>65</v>
      </c>
      <c r="K543" t="s">
        <v>2558</v>
      </c>
    </row>
    <row r="544" spans="1:11">
      <c r="A544" t="s">
        <v>2614</v>
      </c>
      <c r="B544" t="s">
        <v>1019</v>
      </c>
      <c r="C544" t="s">
        <v>2592</v>
      </c>
      <c r="D544" s="1">
        <v>46158</v>
      </c>
      <c r="E544" s="1">
        <v>46188</v>
      </c>
      <c r="F544">
        <v>56085.31</v>
      </c>
      <c r="G544" t="s">
        <v>2562</v>
      </c>
      <c r="H544">
        <v>56085.31</v>
      </c>
      <c r="I544">
        <v>0</v>
      </c>
      <c r="J544">
        <v>77</v>
      </c>
      <c r="K544" t="s">
        <v>2558</v>
      </c>
    </row>
    <row r="545" spans="1:11">
      <c r="A545" t="s">
        <v>2614</v>
      </c>
      <c r="B545" t="s">
        <v>942</v>
      </c>
      <c r="C545" t="s">
        <v>2583</v>
      </c>
      <c r="D545" s="1">
        <v>46171</v>
      </c>
      <c r="E545" s="1">
        <v>46231</v>
      </c>
      <c r="F545">
        <v>104785.76</v>
      </c>
      <c r="G545" t="s">
        <v>2562</v>
      </c>
      <c r="H545">
        <v>104785.76</v>
      </c>
      <c r="I545">
        <v>0</v>
      </c>
      <c r="J545">
        <v>34</v>
      </c>
      <c r="K545" t="s">
        <v>2558</v>
      </c>
    </row>
    <row r="546" spans="1:11">
      <c r="A546" t="s">
        <v>2631</v>
      </c>
      <c r="B546" t="s">
        <v>944</v>
      </c>
      <c r="C546" t="s">
        <v>2620</v>
      </c>
      <c r="D546" s="1">
        <v>46175</v>
      </c>
      <c r="E546" s="1">
        <v>46205</v>
      </c>
      <c r="F546">
        <v>156706.29999999999</v>
      </c>
      <c r="G546" t="s">
        <v>2568</v>
      </c>
      <c r="H546">
        <v>156706.29999999999</v>
      </c>
      <c r="I546">
        <v>0</v>
      </c>
      <c r="J546">
        <v>60</v>
      </c>
      <c r="K546" t="s">
        <v>2558</v>
      </c>
    </row>
    <row r="547" spans="1:11">
      <c r="A547" t="s">
        <v>2614</v>
      </c>
      <c r="B547" t="s">
        <v>1932</v>
      </c>
      <c r="C547" t="s">
        <v>2597</v>
      </c>
      <c r="D547" s="1">
        <v>46158</v>
      </c>
      <c r="E547" s="1">
        <v>46203</v>
      </c>
      <c r="F547">
        <v>169066.5</v>
      </c>
      <c r="G547" t="s">
        <v>2574</v>
      </c>
      <c r="H547">
        <v>48731.95</v>
      </c>
      <c r="I547">
        <v>120334.55</v>
      </c>
      <c r="J547">
        <v>62</v>
      </c>
      <c r="K547" t="s">
        <v>2609</v>
      </c>
    </row>
    <row r="548" spans="1:11">
      <c r="A548" t="s">
        <v>2631</v>
      </c>
      <c r="B548" t="s">
        <v>946</v>
      </c>
      <c r="C548" t="s">
        <v>2603</v>
      </c>
      <c r="D548" s="1">
        <v>46180</v>
      </c>
      <c r="E548" s="1">
        <v>46210</v>
      </c>
      <c r="F548">
        <v>116698.12</v>
      </c>
      <c r="G548" t="s">
        <v>2557</v>
      </c>
      <c r="H548">
        <v>116698.12</v>
      </c>
      <c r="I548">
        <v>0</v>
      </c>
      <c r="J548">
        <v>55</v>
      </c>
      <c r="K548" t="s">
        <v>2558</v>
      </c>
    </row>
    <row r="549" spans="1:11">
      <c r="A549" t="s">
        <v>2614</v>
      </c>
      <c r="B549" t="s">
        <v>1370</v>
      </c>
      <c r="C549" t="s">
        <v>2571</v>
      </c>
      <c r="D549" s="1">
        <v>46158</v>
      </c>
      <c r="E549" s="1">
        <v>46203</v>
      </c>
      <c r="F549">
        <v>604913.81999999995</v>
      </c>
      <c r="G549" t="s">
        <v>2568</v>
      </c>
      <c r="H549">
        <v>604913.81999999995</v>
      </c>
      <c r="I549">
        <v>0</v>
      </c>
      <c r="J549">
        <v>62</v>
      </c>
      <c r="K549" t="s">
        <v>2558</v>
      </c>
    </row>
    <row r="550" spans="1:11">
      <c r="A550" t="s">
        <v>2631</v>
      </c>
      <c r="B550" t="s">
        <v>948</v>
      </c>
      <c r="C550" t="s">
        <v>2579</v>
      </c>
      <c r="D550" s="1">
        <v>46182</v>
      </c>
      <c r="E550" s="1">
        <v>46212</v>
      </c>
      <c r="F550">
        <v>202019.17</v>
      </c>
      <c r="G550" t="s">
        <v>2557</v>
      </c>
      <c r="H550">
        <v>202019.17</v>
      </c>
      <c r="I550">
        <v>0</v>
      </c>
      <c r="J550">
        <v>53</v>
      </c>
      <c r="K550" t="s">
        <v>2558</v>
      </c>
    </row>
    <row r="551" spans="1:11">
      <c r="A551" t="s">
        <v>2614</v>
      </c>
      <c r="B551" t="s">
        <v>1555</v>
      </c>
      <c r="C551" t="s">
        <v>2608</v>
      </c>
      <c r="D551" s="1">
        <v>46158</v>
      </c>
      <c r="E551" s="1">
        <v>46203</v>
      </c>
      <c r="F551">
        <v>109441.88</v>
      </c>
      <c r="G551" t="s">
        <v>2560</v>
      </c>
      <c r="H551">
        <v>109441.88</v>
      </c>
      <c r="I551">
        <v>0</v>
      </c>
      <c r="J551">
        <v>62</v>
      </c>
      <c r="K551" t="s">
        <v>2558</v>
      </c>
    </row>
    <row r="552" spans="1:11">
      <c r="A552" t="s">
        <v>2614</v>
      </c>
      <c r="B552" t="s">
        <v>1209</v>
      </c>
      <c r="C552" t="s">
        <v>2559</v>
      </c>
      <c r="D552" s="1">
        <v>46158</v>
      </c>
      <c r="E552" s="1">
        <v>46173</v>
      </c>
      <c r="F552">
        <v>37148.06</v>
      </c>
      <c r="G552" t="s">
        <v>2560</v>
      </c>
      <c r="H552">
        <v>16182.93</v>
      </c>
      <c r="I552">
        <v>20965.13</v>
      </c>
      <c r="J552">
        <v>92</v>
      </c>
      <c r="K552" t="s">
        <v>2563</v>
      </c>
    </row>
    <row r="553" spans="1:11">
      <c r="A553" t="s">
        <v>2614</v>
      </c>
      <c r="B553" t="s">
        <v>954</v>
      </c>
      <c r="C553" t="s">
        <v>2576</v>
      </c>
      <c r="D553" s="1">
        <v>46159</v>
      </c>
      <c r="E553" s="1">
        <v>46204</v>
      </c>
      <c r="F553">
        <v>265345.81</v>
      </c>
      <c r="G553" t="s">
        <v>2566</v>
      </c>
      <c r="H553">
        <v>265345.81</v>
      </c>
      <c r="I553">
        <v>0</v>
      </c>
      <c r="J553">
        <v>61</v>
      </c>
      <c r="K553" t="s">
        <v>2558</v>
      </c>
    </row>
    <row r="554" spans="1:11">
      <c r="A554" t="s">
        <v>2614</v>
      </c>
      <c r="B554" t="s">
        <v>956</v>
      </c>
      <c r="C554" t="s">
        <v>2571</v>
      </c>
      <c r="D554" s="1">
        <v>46164</v>
      </c>
      <c r="E554" s="1">
        <v>46209</v>
      </c>
      <c r="F554">
        <v>285859.62</v>
      </c>
      <c r="G554" t="s">
        <v>2568</v>
      </c>
      <c r="H554">
        <v>285859.62</v>
      </c>
      <c r="I554">
        <v>0</v>
      </c>
      <c r="J554">
        <v>56</v>
      </c>
      <c r="K554" t="s">
        <v>2558</v>
      </c>
    </row>
    <row r="555" spans="1:11">
      <c r="A555" t="s">
        <v>2614</v>
      </c>
      <c r="B555" t="s">
        <v>1147</v>
      </c>
      <c r="C555" t="s">
        <v>2611</v>
      </c>
      <c r="D555" s="1">
        <v>46158</v>
      </c>
      <c r="E555" s="1">
        <v>46203</v>
      </c>
      <c r="F555">
        <v>791622.05</v>
      </c>
      <c r="G555" t="s">
        <v>2566</v>
      </c>
      <c r="H555">
        <v>531255.06999999995</v>
      </c>
      <c r="I555">
        <v>260366.98</v>
      </c>
      <c r="J555">
        <v>62</v>
      </c>
      <c r="K555" t="s">
        <v>2609</v>
      </c>
    </row>
    <row r="556" spans="1:11">
      <c r="A556" t="s">
        <v>2614</v>
      </c>
      <c r="B556" t="s">
        <v>958</v>
      </c>
      <c r="C556" t="s">
        <v>2595</v>
      </c>
      <c r="D556" s="1">
        <v>46170</v>
      </c>
      <c r="E556" s="1">
        <v>46200</v>
      </c>
      <c r="F556">
        <v>161582.82999999999</v>
      </c>
      <c r="G556" t="s">
        <v>2568</v>
      </c>
      <c r="H556">
        <v>161582.82999999999</v>
      </c>
      <c r="I556">
        <v>0</v>
      </c>
      <c r="J556">
        <v>65</v>
      </c>
      <c r="K556" t="s">
        <v>2558</v>
      </c>
    </row>
    <row r="557" spans="1:11">
      <c r="A557" t="s">
        <v>2614</v>
      </c>
      <c r="B557" t="s">
        <v>960</v>
      </c>
      <c r="C557" t="s">
        <v>2599</v>
      </c>
      <c r="D557" s="1">
        <v>46171</v>
      </c>
      <c r="E557" s="1">
        <v>46231</v>
      </c>
      <c r="F557">
        <v>50297.69</v>
      </c>
      <c r="G557" t="s">
        <v>2562</v>
      </c>
      <c r="H557">
        <v>50297.69</v>
      </c>
      <c r="I557">
        <v>0</v>
      </c>
      <c r="J557">
        <v>34</v>
      </c>
      <c r="K557" t="s">
        <v>2558</v>
      </c>
    </row>
    <row r="558" spans="1:11">
      <c r="A558" t="s">
        <v>2614</v>
      </c>
      <c r="B558" t="s">
        <v>1424</v>
      </c>
      <c r="C558" t="s">
        <v>2580</v>
      </c>
      <c r="D558" s="1">
        <v>46159</v>
      </c>
      <c r="E558" s="1">
        <v>46174</v>
      </c>
      <c r="F558">
        <v>36501.53</v>
      </c>
      <c r="G558" t="s">
        <v>2557</v>
      </c>
      <c r="H558">
        <v>36501.53</v>
      </c>
      <c r="I558">
        <v>0</v>
      </c>
      <c r="J558">
        <v>91</v>
      </c>
      <c r="K558" t="s">
        <v>2558</v>
      </c>
    </row>
    <row r="559" spans="1:11">
      <c r="A559" t="s">
        <v>2614</v>
      </c>
      <c r="B559" t="s">
        <v>963</v>
      </c>
      <c r="C559" t="s">
        <v>2582</v>
      </c>
      <c r="D559" s="1">
        <v>46173</v>
      </c>
      <c r="E559" s="1">
        <v>46203</v>
      </c>
      <c r="F559">
        <v>66426.899999999994</v>
      </c>
      <c r="G559" t="s">
        <v>2557</v>
      </c>
      <c r="H559">
        <v>66426.899999999994</v>
      </c>
      <c r="I559">
        <v>0</v>
      </c>
      <c r="J559">
        <v>62</v>
      </c>
      <c r="K559" t="s">
        <v>2558</v>
      </c>
    </row>
    <row r="560" spans="1:11">
      <c r="A560" t="s">
        <v>2631</v>
      </c>
      <c r="B560" t="s">
        <v>965</v>
      </c>
      <c r="C560" t="s">
        <v>2579</v>
      </c>
      <c r="D560" s="1">
        <v>46174</v>
      </c>
      <c r="E560" s="1">
        <v>46204</v>
      </c>
      <c r="F560">
        <v>244881.87</v>
      </c>
      <c r="G560" t="s">
        <v>2557</v>
      </c>
      <c r="H560">
        <v>244881.87</v>
      </c>
      <c r="I560">
        <v>0</v>
      </c>
      <c r="J560">
        <v>61</v>
      </c>
      <c r="K560" t="s">
        <v>2558</v>
      </c>
    </row>
    <row r="561" spans="1:11">
      <c r="A561" t="s">
        <v>2631</v>
      </c>
      <c r="B561" t="s">
        <v>967</v>
      </c>
      <c r="C561" t="s">
        <v>2579</v>
      </c>
      <c r="D561" s="1">
        <v>46175</v>
      </c>
      <c r="E561" s="1">
        <v>46205</v>
      </c>
      <c r="F561">
        <v>271670.45</v>
      </c>
      <c r="G561" t="s">
        <v>2557</v>
      </c>
      <c r="H561">
        <v>271670.45</v>
      </c>
      <c r="I561">
        <v>0</v>
      </c>
      <c r="J561">
        <v>60</v>
      </c>
      <c r="K561" t="s">
        <v>2558</v>
      </c>
    </row>
    <row r="562" spans="1:11">
      <c r="A562" t="s">
        <v>2631</v>
      </c>
      <c r="B562" t="s">
        <v>969</v>
      </c>
      <c r="C562" t="s">
        <v>2573</v>
      </c>
      <c r="D562" s="1">
        <v>46175</v>
      </c>
      <c r="E562" s="1">
        <v>46205</v>
      </c>
      <c r="F562">
        <v>50151.85</v>
      </c>
      <c r="G562" t="s">
        <v>2574</v>
      </c>
      <c r="H562">
        <v>50151.85</v>
      </c>
      <c r="I562">
        <v>0</v>
      </c>
      <c r="J562">
        <v>60</v>
      </c>
      <c r="K562" t="s">
        <v>2558</v>
      </c>
    </row>
    <row r="563" spans="1:11">
      <c r="A563" t="s">
        <v>2631</v>
      </c>
      <c r="B563" t="s">
        <v>971</v>
      </c>
      <c r="C563" t="s">
        <v>2573</v>
      </c>
      <c r="D563" s="1">
        <v>46176</v>
      </c>
      <c r="E563" s="1">
        <v>46206</v>
      </c>
      <c r="F563">
        <v>9631.1</v>
      </c>
      <c r="G563" t="s">
        <v>2574</v>
      </c>
      <c r="H563">
        <v>9631.1</v>
      </c>
      <c r="I563">
        <v>0</v>
      </c>
      <c r="J563">
        <v>59</v>
      </c>
      <c r="K563" t="s">
        <v>2558</v>
      </c>
    </row>
    <row r="564" spans="1:11">
      <c r="A564" t="s">
        <v>2614</v>
      </c>
      <c r="B564" t="s">
        <v>2643</v>
      </c>
      <c r="C564" t="s">
        <v>2577</v>
      </c>
      <c r="D564" s="1">
        <v>46159</v>
      </c>
      <c r="E564" s="1">
        <v>46189</v>
      </c>
      <c r="F564">
        <v>284731.63</v>
      </c>
      <c r="G564" t="s">
        <v>2562</v>
      </c>
      <c r="I564">
        <v>284731.63</v>
      </c>
      <c r="J564">
        <v>76</v>
      </c>
      <c r="K564" t="s">
        <v>2609</v>
      </c>
    </row>
    <row r="565" spans="1:11">
      <c r="A565" t="s">
        <v>2631</v>
      </c>
      <c r="B565" t="s">
        <v>973</v>
      </c>
      <c r="C565" t="s">
        <v>2582</v>
      </c>
      <c r="D565" s="1">
        <v>46176</v>
      </c>
      <c r="E565" s="1">
        <v>46206</v>
      </c>
      <c r="F565">
        <v>127332.22</v>
      </c>
      <c r="G565" t="s">
        <v>2557</v>
      </c>
      <c r="H565">
        <v>127332.22</v>
      </c>
      <c r="I565">
        <v>0</v>
      </c>
      <c r="J565">
        <v>59</v>
      </c>
      <c r="K565" t="s">
        <v>2558</v>
      </c>
    </row>
    <row r="566" spans="1:11">
      <c r="A566" t="s">
        <v>2631</v>
      </c>
      <c r="B566" t="s">
        <v>975</v>
      </c>
      <c r="C566" t="s">
        <v>2573</v>
      </c>
      <c r="D566" s="1">
        <v>46177</v>
      </c>
      <c r="E566" s="1">
        <v>46207</v>
      </c>
      <c r="F566">
        <v>55500.18</v>
      </c>
      <c r="G566" t="s">
        <v>2574</v>
      </c>
      <c r="H566">
        <v>55500.18</v>
      </c>
      <c r="I566">
        <v>0</v>
      </c>
      <c r="J566">
        <v>58</v>
      </c>
      <c r="K566" t="s">
        <v>2558</v>
      </c>
    </row>
    <row r="567" spans="1:11">
      <c r="A567" t="s">
        <v>2614</v>
      </c>
      <c r="B567" t="s">
        <v>1735</v>
      </c>
      <c r="C567" t="s">
        <v>2611</v>
      </c>
      <c r="D567" s="1">
        <v>46159</v>
      </c>
      <c r="E567" s="1">
        <v>46204</v>
      </c>
      <c r="F567">
        <v>567559.63</v>
      </c>
      <c r="G567" t="s">
        <v>2566</v>
      </c>
      <c r="H567">
        <v>567559.63</v>
      </c>
      <c r="I567">
        <v>0</v>
      </c>
      <c r="J567">
        <v>61</v>
      </c>
      <c r="K567" t="s">
        <v>2558</v>
      </c>
    </row>
    <row r="568" spans="1:11">
      <c r="A568" t="s">
        <v>2631</v>
      </c>
      <c r="B568" t="s">
        <v>977</v>
      </c>
      <c r="C568" t="s">
        <v>2595</v>
      </c>
      <c r="D568" s="1">
        <v>46182</v>
      </c>
      <c r="E568" s="1">
        <v>46212</v>
      </c>
      <c r="F568">
        <v>793569.64</v>
      </c>
      <c r="G568" t="s">
        <v>2568</v>
      </c>
      <c r="H568">
        <v>793569.64</v>
      </c>
      <c r="I568">
        <v>0</v>
      </c>
      <c r="J568">
        <v>53</v>
      </c>
      <c r="K568" t="s">
        <v>2558</v>
      </c>
    </row>
    <row r="569" spans="1:11">
      <c r="A569" t="s">
        <v>2631</v>
      </c>
      <c r="B569" t="s">
        <v>980</v>
      </c>
      <c r="C569" t="s">
        <v>2578</v>
      </c>
      <c r="D569" s="1">
        <v>46192</v>
      </c>
      <c r="E569" s="1">
        <v>46207</v>
      </c>
      <c r="F569">
        <v>37988.720000000001</v>
      </c>
      <c r="G569" t="s">
        <v>2562</v>
      </c>
      <c r="H569">
        <v>37988.720000000001</v>
      </c>
      <c r="I569">
        <v>0</v>
      </c>
      <c r="J569">
        <v>58</v>
      </c>
      <c r="K569" t="s">
        <v>2558</v>
      </c>
    </row>
    <row r="570" spans="1:11">
      <c r="A570" t="s">
        <v>2614</v>
      </c>
      <c r="B570" t="s">
        <v>2644</v>
      </c>
      <c r="C570" t="s">
        <v>2603</v>
      </c>
      <c r="D570" s="1">
        <v>46159</v>
      </c>
      <c r="E570" s="1">
        <v>46189</v>
      </c>
      <c r="F570">
        <v>38415.07</v>
      </c>
      <c r="G570" t="s">
        <v>2557</v>
      </c>
      <c r="I570">
        <v>38415.07</v>
      </c>
      <c r="J570">
        <v>76</v>
      </c>
      <c r="K570" t="s">
        <v>2609</v>
      </c>
    </row>
    <row r="571" spans="1:11">
      <c r="A571" t="s">
        <v>2614</v>
      </c>
      <c r="B571" t="s">
        <v>985</v>
      </c>
      <c r="C571" t="s">
        <v>2576</v>
      </c>
      <c r="D571" s="1">
        <v>46164</v>
      </c>
      <c r="E571" s="1">
        <v>46209</v>
      </c>
      <c r="F571">
        <v>119629.29</v>
      </c>
      <c r="G571" t="s">
        <v>2566</v>
      </c>
      <c r="H571">
        <v>119629.29</v>
      </c>
      <c r="I571">
        <v>0</v>
      </c>
      <c r="J571">
        <v>56</v>
      </c>
      <c r="K571" t="s">
        <v>2558</v>
      </c>
    </row>
    <row r="572" spans="1:11">
      <c r="A572" t="s">
        <v>2614</v>
      </c>
      <c r="B572" t="s">
        <v>987</v>
      </c>
      <c r="C572" t="s">
        <v>2576</v>
      </c>
      <c r="D572" s="1">
        <v>46169</v>
      </c>
      <c r="E572" s="1">
        <v>46214</v>
      </c>
      <c r="F572">
        <v>805163.25</v>
      </c>
      <c r="G572" t="s">
        <v>2566</v>
      </c>
      <c r="H572">
        <v>805163.25</v>
      </c>
      <c r="I572">
        <v>0</v>
      </c>
      <c r="J572">
        <v>51</v>
      </c>
      <c r="K572" t="s">
        <v>2558</v>
      </c>
    </row>
    <row r="573" spans="1:11">
      <c r="A573" t="s">
        <v>2614</v>
      </c>
      <c r="B573" t="s">
        <v>989</v>
      </c>
      <c r="C573" t="s">
        <v>2611</v>
      </c>
      <c r="D573" s="1">
        <v>46170</v>
      </c>
      <c r="E573" s="1">
        <v>46215</v>
      </c>
      <c r="F573">
        <v>92655.41</v>
      </c>
      <c r="G573" t="s">
        <v>2566</v>
      </c>
      <c r="H573">
        <v>92655.41</v>
      </c>
      <c r="I573">
        <v>0</v>
      </c>
      <c r="J573">
        <v>50</v>
      </c>
      <c r="K573" t="s">
        <v>2558</v>
      </c>
    </row>
    <row r="574" spans="1:11">
      <c r="A574" t="s">
        <v>2631</v>
      </c>
      <c r="B574" t="s">
        <v>991</v>
      </c>
      <c r="C574" t="s">
        <v>2582</v>
      </c>
      <c r="D574" s="1">
        <v>46179</v>
      </c>
      <c r="E574" s="1">
        <v>46209</v>
      </c>
      <c r="F574">
        <v>178628.78</v>
      </c>
      <c r="G574" t="s">
        <v>2557</v>
      </c>
      <c r="H574">
        <v>178628.78</v>
      </c>
      <c r="I574">
        <v>0</v>
      </c>
      <c r="J574">
        <v>56</v>
      </c>
      <c r="K574" t="s">
        <v>2558</v>
      </c>
    </row>
    <row r="575" spans="1:11">
      <c r="A575" t="s">
        <v>2614</v>
      </c>
      <c r="B575" t="s">
        <v>2645</v>
      </c>
      <c r="C575" t="s">
        <v>2571</v>
      </c>
      <c r="D575" s="1">
        <v>46160</v>
      </c>
      <c r="E575" s="1">
        <v>46205</v>
      </c>
      <c r="F575">
        <v>272114.45</v>
      </c>
      <c r="G575" t="s">
        <v>2568</v>
      </c>
      <c r="I575">
        <v>272114.45</v>
      </c>
      <c r="J575">
        <v>60</v>
      </c>
      <c r="K575" t="s">
        <v>2636</v>
      </c>
    </row>
    <row r="576" spans="1:11">
      <c r="A576" t="s">
        <v>2631</v>
      </c>
      <c r="B576" t="s">
        <v>993</v>
      </c>
      <c r="C576" t="s">
        <v>2577</v>
      </c>
      <c r="D576" s="1">
        <v>46180</v>
      </c>
      <c r="E576" s="1">
        <v>46210</v>
      </c>
      <c r="F576">
        <v>79157.679999999993</v>
      </c>
      <c r="G576" t="s">
        <v>2562</v>
      </c>
      <c r="H576">
        <v>79157.679999999993</v>
      </c>
      <c r="I576">
        <v>0</v>
      </c>
      <c r="J576">
        <v>55</v>
      </c>
      <c r="K576" t="s">
        <v>2558</v>
      </c>
    </row>
    <row r="577" spans="1:11">
      <c r="A577" t="s">
        <v>2631</v>
      </c>
      <c r="B577" t="s">
        <v>993</v>
      </c>
      <c r="C577" t="s">
        <v>2577</v>
      </c>
      <c r="D577" s="1">
        <v>46180</v>
      </c>
      <c r="E577" s="1">
        <v>46210</v>
      </c>
      <c r="F577">
        <v>79157.679999999993</v>
      </c>
      <c r="G577" t="s">
        <v>2562</v>
      </c>
      <c r="H577">
        <v>79157.679999999993</v>
      </c>
      <c r="I577">
        <v>0</v>
      </c>
      <c r="J577">
        <v>55</v>
      </c>
      <c r="K577" t="s">
        <v>2558</v>
      </c>
    </row>
    <row r="578" spans="1:11">
      <c r="A578" t="s">
        <v>2614</v>
      </c>
      <c r="B578" t="s">
        <v>2646</v>
      </c>
      <c r="C578" t="s">
        <v>2620</v>
      </c>
      <c r="D578" s="1">
        <v>46160</v>
      </c>
      <c r="E578" s="1">
        <v>46190</v>
      </c>
      <c r="F578">
        <v>177350.79</v>
      </c>
      <c r="G578" t="s">
        <v>2568</v>
      </c>
      <c r="I578">
        <v>177350.79</v>
      </c>
      <c r="J578">
        <v>75</v>
      </c>
      <c r="K578" t="s">
        <v>2609</v>
      </c>
    </row>
    <row r="579" spans="1:11">
      <c r="A579" t="s">
        <v>2631</v>
      </c>
      <c r="B579" t="s">
        <v>995</v>
      </c>
      <c r="C579" t="s">
        <v>2585</v>
      </c>
      <c r="D579" s="1">
        <v>46183</v>
      </c>
      <c r="E579" s="1">
        <v>46213</v>
      </c>
      <c r="F579">
        <v>144742.39000000001</v>
      </c>
      <c r="G579" t="s">
        <v>2562</v>
      </c>
      <c r="H579">
        <v>144742.39000000001</v>
      </c>
      <c r="I579">
        <v>0</v>
      </c>
      <c r="J579">
        <v>52</v>
      </c>
      <c r="K579" t="s">
        <v>2558</v>
      </c>
    </row>
    <row r="580" spans="1:11">
      <c r="A580" t="s">
        <v>2631</v>
      </c>
      <c r="B580" t="s">
        <v>997</v>
      </c>
      <c r="C580" t="s">
        <v>2592</v>
      </c>
      <c r="D580" s="1">
        <v>46186</v>
      </c>
      <c r="E580" s="1">
        <v>46216</v>
      </c>
      <c r="F580">
        <v>12021.12</v>
      </c>
      <c r="G580" t="s">
        <v>2562</v>
      </c>
      <c r="H580">
        <v>12021.119999999999</v>
      </c>
      <c r="I580">
        <v>0</v>
      </c>
      <c r="J580">
        <v>49</v>
      </c>
      <c r="K580" t="s">
        <v>2558</v>
      </c>
    </row>
    <row r="581" spans="1:11">
      <c r="A581" t="s">
        <v>2631</v>
      </c>
      <c r="B581" t="s">
        <v>1000</v>
      </c>
      <c r="C581" t="s">
        <v>2559</v>
      </c>
      <c r="D581" s="1">
        <v>46189</v>
      </c>
      <c r="E581" s="1">
        <v>46204</v>
      </c>
      <c r="F581">
        <v>16738.259999999998</v>
      </c>
      <c r="G581" t="s">
        <v>2560</v>
      </c>
      <c r="H581">
        <v>16738.259999999998</v>
      </c>
      <c r="I581">
        <v>0</v>
      </c>
      <c r="J581">
        <v>61</v>
      </c>
      <c r="K581" t="s">
        <v>2558</v>
      </c>
    </row>
    <row r="582" spans="1:11">
      <c r="A582" t="s">
        <v>2631</v>
      </c>
      <c r="B582" t="s">
        <v>1002</v>
      </c>
      <c r="C582" t="s">
        <v>2590</v>
      </c>
      <c r="D582" s="1">
        <v>46196</v>
      </c>
      <c r="E582" s="1">
        <v>46226</v>
      </c>
      <c r="F582">
        <v>146896.04999999999</v>
      </c>
      <c r="G582" t="s">
        <v>2562</v>
      </c>
      <c r="H582">
        <v>146896.04999999999</v>
      </c>
      <c r="I582">
        <v>0</v>
      </c>
      <c r="J582">
        <v>39</v>
      </c>
      <c r="K582" t="s">
        <v>2558</v>
      </c>
    </row>
    <row r="583" spans="1:11">
      <c r="A583" t="s">
        <v>2614</v>
      </c>
      <c r="B583" t="s">
        <v>1314</v>
      </c>
      <c r="C583" t="s">
        <v>2561</v>
      </c>
      <c r="D583" s="1">
        <v>46160</v>
      </c>
      <c r="E583" s="1">
        <v>46205</v>
      </c>
      <c r="F583">
        <v>552634.6</v>
      </c>
      <c r="G583" t="s">
        <v>2562</v>
      </c>
      <c r="H583">
        <v>552634.6</v>
      </c>
      <c r="I583">
        <v>0</v>
      </c>
      <c r="J583">
        <v>60</v>
      </c>
      <c r="K583" t="s">
        <v>2558</v>
      </c>
    </row>
    <row r="584" spans="1:11">
      <c r="A584" t="s">
        <v>2614</v>
      </c>
      <c r="B584" t="s">
        <v>1043</v>
      </c>
      <c r="C584" t="s">
        <v>2610</v>
      </c>
      <c r="D584" s="1">
        <v>46161</v>
      </c>
      <c r="E584" s="1">
        <v>46221</v>
      </c>
      <c r="F584">
        <v>340829.83</v>
      </c>
      <c r="G584" t="s">
        <v>2574</v>
      </c>
      <c r="H584">
        <v>340829.83</v>
      </c>
      <c r="I584">
        <v>0</v>
      </c>
      <c r="J584">
        <v>44</v>
      </c>
      <c r="K584" t="s">
        <v>2558</v>
      </c>
    </row>
    <row r="585" spans="1:11">
      <c r="A585" t="s">
        <v>2614</v>
      </c>
      <c r="B585" t="s">
        <v>1021</v>
      </c>
      <c r="C585" t="s">
        <v>2577</v>
      </c>
      <c r="D585" s="1">
        <v>46164</v>
      </c>
      <c r="E585" s="1">
        <v>46194</v>
      </c>
      <c r="F585">
        <v>12574.16</v>
      </c>
      <c r="G585" t="s">
        <v>2562</v>
      </c>
      <c r="H585">
        <v>10075.33</v>
      </c>
      <c r="I585">
        <v>2498.83</v>
      </c>
      <c r="J585">
        <v>71</v>
      </c>
      <c r="K585" t="s">
        <v>2609</v>
      </c>
    </row>
    <row r="586" spans="1:11">
      <c r="A586" t="s">
        <v>2614</v>
      </c>
      <c r="B586" t="s">
        <v>1023</v>
      </c>
      <c r="C586" t="s">
        <v>2595</v>
      </c>
      <c r="D586" s="1">
        <v>46166</v>
      </c>
      <c r="E586" s="1">
        <v>46196</v>
      </c>
      <c r="F586">
        <v>142324.59</v>
      </c>
      <c r="G586" t="s">
        <v>2568</v>
      </c>
      <c r="H586">
        <v>142324.59</v>
      </c>
      <c r="I586">
        <v>0</v>
      </c>
      <c r="J586">
        <v>69</v>
      </c>
      <c r="K586" t="s">
        <v>2558</v>
      </c>
    </row>
    <row r="587" spans="1:11">
      <c r="A587" t="s">
        <v>2614</v>
      </c>
      <c r="B587" t="s">
        <v>1221</v>
      </c>
      <c r="C587" t="s">
        <v>2570</v>
      </c>
      <c r="D587" s="1">
        <v>46161</v>
      </c>
      <c r="E587" s="1">
        <v>46191</v>
      </c>
      <c r="F587">
        <v>357751.29</v>
      </c>
      <c r="G587" t="s">
        <v>2557</v>
      </c>
      <c r="H587">
        <v>357751.29</v>
      </c>
      <c r="I587">
        <v>0</v>
      </c>
      <c r="J587">
        <v>74</v>
      </c>
      <c r="K587" t="s">
        <v>2558</v>
      </c>
    </row>
    <row r="588" spans="1:11">
      <c r="A588" t="s">
        <v>2614</v>
      </c>
      <c r="B588" t="s">
        <v>1025</v>
      </c>
      <c r="C588" t="s">
        <v>2579</v>
      </c>
      <c r="D588" s="1">
        <v>46172</v>
      </c>
      <c r="E588" s="1">
        <v>46202</v>
      </c>
      <c r="F588">
        <v>606590.13</v>
      </c>
      <c r="G588" t="s">
        <v>2557</v>
      </c>
      <c r="H588">
        <v>606590.13</v>
      </c>
      <c r="I588">
        <v>0</v>
      </c>
      <c r="J588">
        <v>63</v>
      </c>
      <c r="K588" t="s">
        <v>2558</v>
      </c>
    </row>
    <row r="589" spans="1:11">
      <c r="A589" t="s">
        <v>2631</v>
      </c>
      <c r="B589" t="s">
        <v>1027</v>
      </c>
      <c r="C589" t="s">
        <v>2610</v>
      </c>
      <c r="D589" s="1">
        <v>46179</v>
      </c>
      <c r="E589" s="1">
        <v>46239</v>
      </c>
      <c r="F589">
        <v>1465367.06</v>
      </c>
      <c r="G589" t="s">
        <v>2574</v>
      </c>
      <c r="H589">
        <v>1465367.06</v>
      </c>
      <c r="I589">
        <v>0</v>
      </c>
      <c r="J589">
        <v>26</v>
      </c>
      <c r="K589" t="s">
        <v>2558</v>
      </c>
    </row>
    <row r="590" spans="1:11">
      <c r="A590" t="s">
        <v>2631</v>
      </c>
      <c r="B590" t="s">
        <v>1030</v>
      </c>
      <c r="C590" t="s">
        <v>2559</v>
      </c>
      <c r="D590" s="1">
        <v>46189</v>
      </c>
      <c r="E590" s="1">
        <v>46204</v>
      </c>
      <c r="F590">
        <v>30815.64</v>
      </c>
      <c r="G590" t="s">
        <v>2560</v>
      </c>
      <c r="H590">
        <v>30815.64</v>
      </c>
      <c r="I590">
        <v>0</v>
      </c>
      <c r="J590">
        <v>61</v>
      </c>
      <c r="K590" t="s">
        <v>2558</v>
      </c>
    </row>
    <row r="591" spans="1:11">
      <c r="A591" t="s">
        <v>2614</v>
      </c>
      <c r="B591" t="s">
        <v>1809</v>
      </c>
      <c r="C591" t="s">
        <v>2610</v>
      </c>
      <c r="D591" s="1">
        <v>46162</v>
      </c>
      <c r="E591" s="1">
        <v>46222</v>
      </c>
      <c r="F591">
        <v>50392.82</v>
      </c>
      <c r="G591" t="s">
        <v>2574</v>
      </c>
      <c r="H591">
        <v>19082.02</v>
      </c>
      <c r="I591">
        <v>31310.799999999999</v>
      </c>
      <c r="J591">
        <v>43</v>
      </c>
      <c r="K591" t="s">
        <v>2636</v>
      </c>
    </row>
    <row r="592" spans="1:11">
      <c r="A592" t="s">
        <v>2631</v>
      </c>
      <c r="B592" t="s">
        <v>1032</v>
      </c>
      <c r="C592" t="s">
        <v>2613</v>
      </c>
      <c r="D592" s="1">
        <v>46176</v>
      </c>
      <c r="E592" s="1">
        <v>46236</v>
      </c>
      <c r="F592">
        <v>119074.96</v>
      </c>
      <c r="G592" t="s">
        <v>2560</v>
      </c>
      <c r="H592">
        <v>119074.96</v>
      </c>
      <c r="I592">
        <v>0</v>
      </c>
      <c r="J592">
        <v>29</v>
      </c>
      <c r="K592" t="s">
        <v>2558</v>
      </c>
    </row>
    <row r="593" spans="1:11">
      <c r="A593" t="s">
        <v>2631</v>
      </c>
      <c r="B593" t="s">
        <v>1035</v>
      </c>
      <c r="C593" t="s">
        <v>2594</v>
      </c>
      <c r="D593" s="1">
        <v>46182</v>
      </c>
      <c r="E593" s="1">
        <v>46212</v>
      </c>
      <c r="F593">
        <v>282591.43</v>
      </c>
      <c r="G593" t="s">
        <v>2557</v>
      </c>
      <c r="H593">
        <v>282591.43</v>
      </c>
      <c r="I593">
        <v>0</v>
      </c>
      <c r="J593">
        <v>53</v>
      </c>
      <c r="K593" t="s">
        <v>2558</v>
      </c>
    </row>
    <row r="594" spans="1:11">
      <c r="A594" t="s">
        <v>2631</v>
      </c>
      <c r="B594" t="s">
        <v>1037</v>
      </c>
      <c r="C594" t="s">
        <v>2572</v>
      </c>
      <c r="D594" s="1">
        <v>46186</v>
      </c>
      <c r="E594" s="1">
        <v>46201</v>
      </c>
      <c r="F594">
        <v>21224.720000000001</v>
      </c>
      <c r="G594" t="s">
        <v>2557</v>
      </c>
      <c r="H594">
        <v>21224.720000000001</v>
      </c>
      <c r="I594">
        <v>0</v>
      </c>
      <c r="J594">
        <v>64</v>
      </c>
      <c r="K594" t="s">
        <v>2558</v>
      </c>
    </row>
    <row r="595" spans="1:11">
      <c r="A595" t="s">
        <v>2614</v>
      </c>
      <c r="B595" t="s">
        <v>1934</v>
      </c>
      <c r="C595" t="s">
        <v>2589</v>
      </c>
      <c r="D595" s="1">
        <v>46162</v>
      </c>
      <c r="E595" s="1">
        <v>46192</v>
      </c>
      <c r="F595">
        <v>48002.53</v>
      </c>
      <c r="G595" t="s">
        <v>2568</v>
      </c>
      <c r="H595">
        <v>48002.53</v>
      </c>
      <c r="I595">
        <v>0</v>
      </c>
      <c r="J595">
        <v>73</v>
      </c>
      <c r="K595" t="s">
        <v>2558</v>
      </c>
    </row>
    <row r="596" spans="1:11">
      <c r="A596" t="s">
        <v>2631</v>
      </c>
      <c r="B596" t="s">
        <v>1039</v>
      </c>
      <c r="C596" t="s">
        <v>2564</v>
      </c>
      <c r="D596" s="1">
        <v>46191</v>
      </c>
      <c r="E596" s="1">
        <v>46251</v>
      </c>
      <c r="F596">
        <v>149624.21</v>
      </c>
      <c r="G596" t="s">
        <v>2562</v>
      </c>
      <c r="H596">
        <v>63264.83</v>
      </c>
      <c r="I596">
        <v>86359.38</v>
      </c>
      <c r="J596">
        <v>14</v>
      </c>
      <c r="K596" t="s">
        <v>2647</v>
      </c>
    </row>
    <row r="597" spans="1:11">
      <c r="A597" t="s">
        <v>2614</v>
      </c>
      <c r="B597" t="s">
        <v>2648</v>
      </c>
      <c r="C597" t="s">
        <v>2602</v>
      </c>
      <c r="D597" s="1">
        <v>46162</v>
      </c>
      <c r="E597" s="1">
        <v>46222</v>
      </c>
      <c r="F597">
        <v>69059.92</v>
      </c>
      <c r="G597" t="s">
        <v>2562</v>
      </c>
      <c r="I597">
        <v>69059.92</v>
      </c>
      <c r="J597">
        <v>43</v>
      </c>
      <c r="K597" t="s">
        <v>2636</v>
      </c>
    </row>
    <row r="598" spans="1:11">
      <c r="A598" t="s">
        <v>2631</v>
      </c>
      <c r="B598" t="s">
        <v>1045</v>
      </c>
      <c r="C598" t="s">
        <v>2573</v>
      </c>
      <c r="D598" s="1">
        <v>46175</v>
      </c>
      <c r="E598" s="1">
        <v>46205</v>
      </c>
      <c r="F598">
        <v>20429.310000000001</v>
      </c>
      <c r="G598" t="s">
        <v>2574</v>
      </c>
      <c r="H598">
        <v>20429.310000000001</v>
      </c>
      <c r="I598">
        <v>0</v>
      </c>
      <c r="J598">
        <v>60</v>
      </c>
      <c r="K598" t="s">
        <v>2558</v>
      </c>
    </row>
    <row r="599" spans="1:11">
      <c r="A599" t="s">
        <v>2614</v>
      </c>
      <c r="B599" t="s">
        <v>2649</v>
      </c>
      <c r="C599" t="s">
        <v>2583</v>
      </c>
      <c r="D599" s="1">
        <v>46162</v>
      </c>
      <c r="E599" s="1">
        <v>46222</v>
      </c>
      <c r="F599">
        <v>85300.53</v>
      </c>
      <c r="G599" t="s">
        <v>2562</v>
      </c>
      <c r="I599">
        <v>85300.53</v>
      </c>
      <c r="J599">
        <v>43</v>
      </c>
      <c r="K599" t="s">
        <v>2636</v>
      </c>
    </row>
    <row r="600" spans="1:11">
      <c r="A600" t="s">
        <v>2631</v>
      </c>
      <c r="B600" t="s">
        <v>1047</v>
      </c>
      <c r="C600" t="s">
        <v>2577</v>
      </c>
      <c r="D600" s="1">
        <v>46176</v>
      </c>
      <c r="E600" s="1">
        <v>46206</v>
      </c>
      <c r="F600">
        <v>45361.15</v>
      </c>
      <c r="G600" t="s">
        <v>2562</v>
      </c>
      <c r="H600">
        <v>45361.15</v>
      </c>
      <c r="I600">
        <v>0</v>
      </c>
      <c r="J600">
        <v>59</v>
      </c>
      <c r="K600" t="s">
        <v>2558</v>
      </c>
    </row>
    <row r="601" spans="1:11">
      <c r="A601" t="s">
        <v>2631</v>
      </c>
      <c r="B601" t="s">
        <v>1049</v>
      </c>
      <c r="C601" t="s">
        <v>2579</v>
      </c>
      <c r="D601" s="1">
        <v>46176</v>
      </c>
      <c r="E601" s="1">
        <v>46206</v>
      </c>
      <c r="F601">
        <v>654215.93999999994</v>
      </c>
      <c r="G601" t="s">
        <v>2557</v>
      </c>
      <c r="H601">
        <v>654215.93999999994</v>
      </c>
      <c r="I601">
        <v>0</v>
      </c>
      <c r="J601">
        <v>59</v>
      </c>
      <c r="K601" t="s">
        <v>2558</v>
      </c>
    </row>
    <row r="602" spans="1:11">
      <c r="A602" t="s">
        <v>2631</v>
      </c>
      <c r="B602" t="s">
        <v>1051</v>
      </c>
      <c r="C602" t="s">
        <v>2582</v>
      </c>
      <c r="D602" s="1">
        <v>46176</v>
      </c>
      <c r="E602" s="1">
        <v>46206</v>
      </c>
      <c r="F602">
        <v>159780.10999999999</v>
      </c>
      <c r="G602" t="s">
        <v>2557</v>
      </c>
      <c r="H602">
        <v>159780.10999999999</v>
      </c>
      <c r="I602">
        <v>0</v>
      </c>
      <c r="J602">
        <v>59</v>
      </c>
      <c r="K602" t="s">
        <v>2558</v>
      </c>
    </row>
    <row r="603" spans="1:11">
      <c r="A603" t="s">
        <v>2631</v>
      </c>
      <c r="B603" t="s">
        <v>1053</v>
      </c>
      <c r="C603" t="s">
        <v>2570</v>
      </c>
      <c r="D603" s="1">
        <v>46179</v>
      </c>
      <c r="E603" s="1">
        <v>46209</v>
      </c>
      <c r="F603">
        <v>288475.09999999998</v>
      </c>
      <c r="G603" t="s">
        <v>2557</v>
      </c>
      <c r="H603">
        <v>288475.09999999998</v>
      </c>
      <c r="I603">
        <v>0</v>
      </c>
      <c r="J603">
        <v>56</v>
      </c>
      <c r="K603" t="s">
        <v>2558</v>
      </c>
    </row>
    <row r="604" spans="1:11">
      <c r="A604" t="s">
        <v>2631</v>
      </c>
      <c r="B604" t="s">
        <v>1055</v>
      </c>
      <c r="C604" t="s">
        <v>2608</v>
      </c>
      <c r="D604" s="1">
        <v>46186</v>
      </c>
      <c r="E604" s="1">
        <v>46231</v>
      </c>
      <c r="F604">
        <v>70232.08</v>
      </c>
      <c r="G604" t="s">
        <v>2560</v>
      </c>
      <c r="H604">
        <v>42867.73</v>
      </c>
      <c r="I604">
        <v>27364.35</v>
      </c>
      <c r="J604">
        <v>34</v>
      </c>
      <c r="K604" t="s">
        <v>2636</v>
      </c>
    </row>
    <row r="605" spans="1:11">
      <c r="A605" t="s">
        <v>2614</v>
      </c>
      <c r="B605" t="s">
        <v>2650</v>
      </c>
      <c r="C605" t="s">
        <v>2559</v>
      </c>
      <c r="D605" s="1">
        <v>46163</v>
      </c>
      <c r="E605" s="1">
        <v>46178</v>
      </c>
      <c r="F605">
        <v>114456.97</v>
      </c>
      <c r="G605" t="s">
        <v>2560</v>
      </c>
      <c r="I605">
        <v>114456.97</v>
      </c>
      <c r="J605">
        <v>87</v>
      </c>
      <c r="K605" t="s">
        <v>2609</v>
      </c>
    </row>
    <row r="606" spans="1:11">
      <c r="A606" t="s">
        <v>2631</v>
      </c>
      <c r="B606" t="s">
        <v>1057</v>
      </c>
      <c r="C606" t="s">
        <v>2581</v>
      </c>
      <c r="D606" s="1">
        <v>46187</v>
      </c>
      <c r="E606" s="1">
        <v>46202</v>
      </c>
      <c r="F606">
        <v>96327.03</v>
      </c>
      <c r="G606" t="s">
        <v>2562</v>
      </c>
      <c r="H606">
        <v>96327.03</v>
      </c>
      <c r="I606">
        <v>0</v>
      </c>
      <c r="J606">
        <v>63</v>
      </c>
      <c r="K606" t="s">
        <v>2558</v>
      </c>
    </row>
    <row r="607" spans="1:11">
      <c r="A607" t="s">
        <v>2631</v>
      </c>
      <c r="B607" t="s">
        <v>1060</v>
      </c>
      <c r="C607" t="s">
        <v>2616</v>
      </c>
      <c r="D607" s="1">
        <v>46188</v>
      </c>
      <c r="E607" s="1">
        <v>46203</v>
      </c>
      <c r="F607">
        <v>623608.24</v>
      </c>
      <c r="G607" t="s">
        <v>2560</v>
      </c>
      <c r="H607">
        <v>623608.24</v>
      </c>
      <c r="I607">
        <v>0</v>
      </c>
      <c r="J607">
        <v>62</v>
      </c>
      <c r="K607" t="s">
        <v>2558</v>
      </c>
    </row>
    <row r="608" spans="1:11">
      <c r="A608" t="s">
        <v>2631</v>
      </c>
      <c r="B608" t="s">
        <v>1063</v>
      </c>
      <c r="C608" t="s">
        <v>2565</v>
      </c>
      <c r="D608" s="1">
        <v>46191</v>
      </c>
      <c r="E608" s="1">
        <v>46206</v>
      </c>
      <c r="F608">
        <v>63503.95</v>
      </c>
      <c r="G608" t="s">
        <v>2566</v>
      </c>
      <c r="H608">
        <v>63503.95</v>
      </c>
      <c r="I608">
        <v>0</v>
      </c>
      <c r="J608">
        <v>59</v>
      </c>
      <c r="K608" t="s">
        <v>2558</v>
      </c>
    </row>
    <row r="609" spans="1:11">
      <c r="A609" t="s">
        <v>2631</v>
      </c>
      <c r="B609" t="s">
        <v>1065</v>
      </c>
      <c r="C609" t="s">
        <v>2594</v>
      </c>
      <c r="D609" s="1">
        <v>46201</v>
      </c>
      <c r="E609" s="1">
        <v>46231</v>
      </c>
      <c r="F609">
        <v>483441.56</v>
      </c>
      <c r="G609" t="s">
        <v>2557</v>
      </c>
      <c r="H609">
        <v>399672.85</v>
      </c>
      <c r="I609">
        <v>83768.710000000006</v>
      </c>
      <c r="J609">
        <v>34</v>
      </c>
      <c r="K609" t="s">
        <v>2636</v>
      </c>
    </row>
    <row r="610" spans="1:11">
      <c r="A610" t="s">
        <v>2614</v>
      </c>
      <c r="B610" t="s">
        <v>2651</v>
      </c>
      <c r="C610" t="s">
        <v>2583</v>
      </c>
      <c r="D610" s="1">
        <v>46163</v>
      </c>
      <c r="E610" s="1">
        <v>46223</v>
      </c>
      <c r="F610">
        <v>62387.43</v>
      </c>
      <c r="G610" t="s">
        <v>2562</v>
      </c>
      <c r="I610">
        <v>62387.43</v>
      </c>
      <c r="J610">
        <v>42</v>
      </c>
      <c r="K610" t="s">
        <v>2636</v>
      </c>
    </row>
    <row r="611" spans="1:11">
      <c r="A611" t="s">
        <v>2631</v>
      </c>
      <c r="B611" t="s">
        <v>1079</v>
      </c>
      <c r="C611" t="s">
        <v>2595</v>
      </c>
      <c r="D611" s="1">
        <v>46176</v>
      </c>
      <c r="E611" s="1">
        <v>46206</v>
      </c>
      <c r="F611">
        <v>43536.97</v>
      </c>
      <c r="G611" t="s">
        <v>2568</v>
      </c>
      <c r="H611">
        <v>43536.97</v>
      </c>
      <c r="I611">
        <v>0</v>
      </c>
      <c r="J611">
        <v>59</v>
      </c>
      <c r="K611" t="s">
        <v>2558</v>
      </c>
    </row>
    <row r="612" spans="1:11">
      <c r="A612" t="s">
        <v>2614</v>
      </c>
      <c r="B612" t="s">
        <v>1199</v>
      </c>
      <c r="C612" t="s">
        <v>2569</v>
      </c>
      <c r="D612" s="1">
        <v>46164</v>
      </c>
      <c r="E612" s="1">
        <v>46179</v>
      </c>
      <c r="F612">
        <v>36761.879999999997</v>
      </c>
      <c r="G612" t="s">
        <v>2557</v>
      </c>
      <c r="H612">
        <v>36761.879999999997</v>
      </c>
      <c r="I612">
        <v>0</v>
      </c>
      <c r="J612">
        <v>86</v>
      </c>
      <c r="K612" t="s">
        <v>2558</v>
      </c>
    </row>
    <row r="613" spans="1:11">
      <c r="A613" t="s">
        <v>2631</v>
      </c>
      <c r="B613" t="s">
        <v>1081</v>
      </c>
      <c r="C613" t="s">
        <v>2600</v>
      </c>
      <c r="D613" s="1">
        <v>46183</v>
      </c>
      <c r="E613" s="1">
        <v>46213</v>
      </c>
      <c r="F613">
        <v>95141.02</v>
      </c>
      <c r="G613" t="s">
        <v>2568</v>
      </c>
      <c r="H613">
        <v>95141.02</v>
      </c>
      <c r="I613">
        <v>0</v>
      </c>
      <c r="J613">
        <v>52</v>
      </c>
      <c r="K613" t="s">
        <v>2558</v>
      </c>
    </row>
    <row r="614" spans="1:11">
      <c r="A614" t="s">
        <v>2631</v>
      </c>
      <c r="B614" t="s">
        <v>1083</v>
      </c>
      <c r="C614" t="s">
        <v>2593</v>
      </c>
      <c r="D614" s="1">
        <v>46188</v>
      </c>
      <c r="E614" s="1">
        <v>46218</v>
      </c>
      <c r="F614">
        <v>189280.85</v>
      </c>
      <c r="G614" t="s">
        <v>2574</v>
      </c>
      <c r="H614">
        <v>189280.85</v>
      </c>
      <c r="I614">
        <v>0</v>
      </c>
      <c r="J614">
        <v>47</v>
      </c>
      <c r="K614" t="s">
        <v>2558</v>
      </c>
    </row>
    <row r="615" spans="1:11">
      <c r="A615" t="s">
        <v>2614</v>
      </c>
      <c r="B615" t="s">
        <v>2149</v>
      </c>
      <c r="C615" t="s">
        <v>2583</v>
      </c>
      <c r="D615" s="1">
        <v>46165</v>
      </c>
      <c r="E615" s="1">
        <v>46225</v>
      </c>
      <c r="F615">
        <v>226780.92</v>
      </c>
      <c r="G615" t="s">
        <v>2562</v>
      </c>
      <c r="H615">
        <v>226780.92</v>
      </c>
      <c r="I615">
        <v>0</v>
      </c>
      <c r="J615">
        <v>40</v>
      </c>
      <c r="K615" t="s">
        <v>2558</v>
      </c>
    </row>
    <row r="616" spans="1:11">
      <c r="A616" t="s">
        <v>2614</v>
      </c>
      <c r="B616" t="s">
        <v>1342</v>
      </c>
      <c r="C616" t="s">
        <v>2556</v>
      </c>
      <c r="D616" s="1">
        <v>46165</v>
      </c>
      <c r="E616" s="1">
        <v>46195</v>
      </c>
      <c r="F616">
        <v>98189.96</v>
      </c>
      <c r="G616" t="s">
        <v>2557</v>
      </c>
      <c r="H616">
        <v>98189.96</v>
      </c>
      <c r="I616">
        <v>0</v>
      </c>
      <c r="J616">
        <v>70</v>
      </c>
      <c r="K616" t="s">
        <v>2558</v>
      </c>
    </row>
    <row r="617" spans="1:11">
      <c r="A617" t="s">
        <v>2614</v>
      </c>
      <c r="B617" t="s">
        <v>1557</v>
      </c>
      <c r="C617" t="s">
        <v>2561</v>
      </c>
      <c r="D617" s="1">
        <v>46165</v>
      </c>
      <c r="E617" s="1">
        <v>46210</v>
      </c>
      <c r="F617">
        <v>2000000</v>
      </c>
      <c r="G617" t="s">
        <v>2562</v>
      </c>
      <c r="H617">
        <v>2000000</v>
      </c>
      <c r="I617">
        <v>0</v>
      </c>
      <c r="J617">
        <v>55</v>
      </c>
      <c r="K617" t="s">
        <v>2558</v>
      </c>
    </row>
    <row r="618" spans="1:11">
      <c r="A618" t="s">
        <v>2614</v>
      </c>
      <c r="B618" t="s">
        <v>1454</v>
      </c>
      <c r="C618" t="s">
        <v>2600</v>
      </c>
      <c r="D618" s="1">
        <v>46165</v>
      </c>
      <c r="E618" s="1">
        <v>46195</v>
      </c>
      <c r="F618">
        <v>43731.02</v>
      </c>
      <c r="G618" t="s">
        <v>2568</v>
      </c>
      <c r="H618">
        <v>43731.02</v>
      </c>
      <c r="I618">
        <v>0</v>
      </c>
      <c r="J618">
        <v>70</v>
      </c>
      <c r="K618" t="s">
        <v>2558</v>
      </c>
    </row>
    <row r="619" spans="1:11">
      <c r="A619" t="s">
        <v>2614</v>
      </c>
      <c r="B619" t="s">
        <v>1095</v>
      </c>
      <c r="C619" t="s">
        <v>2640</v>
      </c>
      <c r="D619" s="1">
        <v>46167</v>
      </c>
      <c r="E619" s="1">
        <v>46227</v>
      </c>
      <c r="F619">
        <v>89715</v>
      </c>
      <c r="G619" t="s">
        <v>2560</v>
      </c>
      <c r="H619">
        <v>89715</v>
      </c>
      <c r="I619">
        <v>0</v>
      </c>
      <c r="J619">
        <v>38</v>
      </c>
      <c r="K619" t="s">
        <v>2558</v>
      </c>
    </row>
    <row r="620" spans="1:11">
      <c r="A620" t="s">
        <v>2631</v>
      </c>
      <c r="B620" t="s">
        <v>1097</v>
      </c>
      <c r="C620" t="s">
        <v>2585</v>
      </c>
      <c r="D620" s="1">
        <v>46178</v>
      </c>
      <c r="E620" s="1">
        <v>46208</v>
      </c>
      <c r="F620">
        <v>161065.89000000001</v>
      </c>
      <c r="G620" t="s">
        <v>2562</v>
      </c>
      <c r="H620">
        <v>161065.89000000001</v>
      </c>
      <c r="I620">
        <v>0</v>
      </c>
      <c r="J620">
        <v>57</v>
      </c>
      <c r="K620" t="s">
        <v>2558</v>
      </c>
    </row>
    <row r="621" spans="1:11">
      <c r="A621" t="s">
        <v>2631</v>
      </c>
      <c r="B621" t="s">
        <v>1099</v>
      </c>
      <c r="C621" t="s">
        <v>2600</v>
      </c>
      <c r="D621" s="1">
        <v>46185</v>
      </c>
      <c r="E621" s="1">
        <v>46215</v>
      </c>
      <c r="F621">
        <v>59390.48</v>
      </c>
      <c r="G621" t="s">
        <v>2568</v>
      </c>
      <c r="H621">
        <v>59390.48</v>
      </c>
      <c r="I621">
        <v>0</v>
      </c>
      <c r="J621">
        <v>50</v>
      </c>
      <c r="K621" t="s">
        <v>2558</v>
      </c>
    </row>
    <row r="622" spans="1:11">
      <c r="A622" t="s">
        <v>2614</v>
      </c>
      <c r="B622" t="s">
        <v>1624</v>
      </c>
      <c r="C622" t="s">
        <v>2569</v>
      </c>
      <c r="D622" s="1">
        <v>46166</v>
      </c>
      <c r="E622" s="1">
        <v>46181</v>
      </c>
      <c r="F622">
        <v>6698.41</v>
      </c>
      <c r="G622" t="s">
        <v>2557</v>
      </c>
      <c r="H622">
        <v>6698.41</v>
      </c>
      <c r="I622">
        <v>0</v>
      </c>
      <c r="J622">
        <v>84</v>
      </c>
      <c r="K622" t="s">
        <v>2558</v>
      </c>
    </row>
    <row r="623" spans="1:11">
      <c r="A623" t="s">
        <v>2631</v>
      </c>
      <c r="B623" t="s">
        <v>1102</v>
      </c>
      <c r="C623" t="s">
        <v>2559</v>
      </c>
      <c r="D623" s="1">
        <v>46191</v>
      </c>
      <c r="E623" s="1">
        <v>46206</v>
      </c>
      <c r="F623">
        <v>17794.63</v>
      </c>
      <c r="G623" t="s">
        <v>2560</v>
      </c>
      <c r="H623">
        <v>17794.63</v>
      </c>
      <c r="I623">
        <v>0</v>
      </c>
      <c r="J623">
        <v>59</v>
      </c>
      <c r="K623" t="s">
        <v>2558</v>
      </c>
    </row>
    <row r="624" spans="1:11">
      <c r="A624" t="s">
        <v>2631</v>
      </c>
      <c r="B624" t="s">
        <v>1104</v>
      </c>
      <c r="C624" t="s">
        <v>2570</v>
      </c>
      <c r="D624" s="1">
        <v>46192</v>
      </c>
      <c r="E624" s="1">
        <v>46222</v>
      </c>
      <c r="F624">
        <v>123792.48</v>
      </c>
      <c r="G624" t="s">
        <v>2557</v>
      </c>
      <c r="H624">
        <v>123792.48</v>
      </c>
      <c r="I624">
        <v>0</v>
      </c>
      <c r="J624">
        <v>43</v>
      </c>
      <c r="K624" t="s">
        <v>2558</v>
      </c>
    </row>
    <row r="625" spans="1:11">
      <c r="A625" t="s">
        <v>2614</v>
      </c>
      <c r="B625" t="s">
        <v>2348</v>
      </c>
      <c r="C625" t="s">
        <v>2583</v>
      </c>
      <c r="D625" s="1">
        <v>46166</v>
      </c>
      <c r="E625" s="1">
        <v>46226</v>
      </c>
      <c r="F625">
        <v>124702.07</v>
      </c>
      <c r="G625" t="s">
        <v>2562</v>
      </c>
      <c r="H625">
        <v>124702.07</v>
      </c>
      <c r="I625">
        <v>0</v>
      </c>
      <c r="J625">
        <v>39</v>
      </c>
      <c r="K625" t="s">
        <v>2558</v>
      </c>
    </row>
    <row r="626" spans="1:11">
      <c r="A626" t="s">
        <v>2631</v>
      </c>
      <c r="B626" t="s">
        <v>1106</v>
      </c>
      <c r="C626" t="s">
        <v>2581</v>
      </c>
      <c r="D626" s="1">
        <v>46201</v>
      </c>
      <c r="E626" s="1">
        <v>46216</v>
      </c>
      <c r="F626">
        <v>5000</v>
      </c>
      <c r="G626" t="s">
        <v>2562</v>
      </c>
      <c r="H626">
        <v>5000</v>
      </c>
      <c r="I626">
        <v>0</v>
      </c>
      <c r="J626">
        <v>49</v>
      </c>
      <c r="K626" t="s">
        <v>2558</v>
      </c>
    </row>
    <row r="627" spans="1:11">
      <c r="A627" t="s">
        <v>2631</v>
      </c>
      <c r="B627" t="s">
        <v>1108</v>
      </c>
      <c r="C627" t="s">
        <v>2567</v>
      </c>
      <c r="D627" s="1">
        <v>46203</v>
      </c>
      <c r="E627" s="1">
        <v>46248</v>
      </c>
      <c r="F627">
        <v>578409.56999999995</v>
      </c>
      <c r="G627" t="s">
        <v>2568</v>
      </c>
      <c r="H627">
        <v>578409.57000000007</v>
      </c>
      <c r="I627">
        <v>0</v>
      </c>
      <c r="J627">
        <v>17</v>
      </c>
      <c r="K627" t="s">
        <v>2558</v>
      </c>
    </row>
    <row r="628" spans="1:11">
      <c r="A628" t="s">
        <v>2614</v>
      </c>
      <c r="B628" t="s">
        <v>1426</v>
      </c>
      <c r="C628" t="s">
        <v>2595</v>
      </c>
      <c r="D628" s="1">
        <v>46167</v>
      </c>
      <c r="E628" s="1">
        <v>46197</v>
      </c>
      <c r="F628">
        <v>235845.32</v>
      </c>
      <c r="G628" t="s">
        <v>2568</v>
      </c>
      <c r="H628">
        <v>235845.32</v>
      </c>
      <c r="I628">
        <v>0</v>
      </c>
      <c r="J628">
        <v>68</v>
      </c>
      <c r="K628" t="s">
        <v>2558</v>
      </c>
    </row>
    <row r="629" spans="1:11">
      <c r="A629" t="s">
        <v>2631</v>
      </c>
      <c r="B629" t="s">
        <v>1115</v>
      </c>
      <c r="C629" t="s">
        <v>2612</v>
      </c>
      <c r="D629" s="1">
        <v>46183</v>
      </c>
      <c r="E629" s="1">
        <v>46213</v>
      </c>
      <c r="F629">
        <v>11920.57</v>
      </c>
      <c r="G629" t="s">
        <v>2566</v>
      </c>
      <c r="H629">
        <v>11920.57</v>
      </c>
      <c r="I629">
        <v>0</v>
      </c>
      <c r="J629">
        <v>52</v>
      </c>
      <c r="K629" t="s">
        <v>2558</v>
      </c>
    </row>
    <row r="630" spans="1:11">
      <c r="A630" t="s">
        <v>2614</v>
      </c>
      <c r="B630" t="s">
        <v>2652</v>
      </c>
      <c r="C630" t="s">
        <v>2583</v>
      </c>
      <c r="D630" s="1">
        <v>46167</v>
      </c>
      <c r="E630" s="1">
        <v>46227</v>
      </c>
      <c r="F630">
        <v>57807.74</v>
      </c>
      <c r="G630" t="s">
        <v>2562</v>
      </c>
      <c r="I630">
        <v>57807.74</v>
      </c>
      <c r="J630">
        <v>38</v>
      </c>
      <c r="K630" t="s">
        <v>2636</v>
      </c>
    </row>
    <row r="631" spans="1:11">
      <c r="A631" t="s">
        <v>2631</v>
      </c>
      <c r="B631" t="s">
        <v>1118</v>
      </c>
      <c r="C631" t="s">
        <v>2577</v>
      </c>
      <c r="D631" s="1">
        <v>46185</v>
      </c>
      <c r="E631" s="1">
        <v>46215</v>
      </c>
      <c r="F631">
        <v>67263.509999999995</v>
      </c>
      <c r="G631" t="s">
        <v>2562</v>
      </c>
      <c r="H631">
        <v>67263.510000000009</v>
      </c>
      <c r="I631">
        <v>0</v>
      </c>
      <c r="J631">
        <v>50</v>
      </c>
      <c r="K631" t="s">
        <v>2558</v>
      </c>
    </row>
    <row r="632" spans="1:11">
      <c r="A632" t="s">
        <v>2614</v>
      </c>
      <c r="B632" t="s">
        <v>2653</v>
      </c>
      <c r="C632" t="s">
        <v>2564</v>
      </c>
      <c r="D632" s="1">
        <v>46167</v>
      </c>
      <c r="E632" s="1">
        <v>46227</v>
      </c>
      <c r="F632">
        <v>147081.01999999999</v>
      </c>
      <c r="G632" t="s">
        <v>2562</v>
      </c>
      <c r="I632">
        <v>147081.01999999999</v>
      </c>
      <c r="J632">
        <v>38</v>
      </c>
      <c r="K632" t="s">
        <v>2636</v>
      </c>
    </row>
    <row r="633" spans="1:11">
      <c r="A633" t="s">
        <v>2631</v>
      </c>
      <c r="B633" t="s">
        <v>1120</v>
      </c>
      <c r="C633" t="s">
        <v>2576</v>
      </c>
      <c r="D633" s="1">
        <v>46186</v>
      </c>
      <c r="E633" s="1">
        <v>46231</v>
      </c>
      <c r="F633">
        <v>201134.51</v>
      </c>
      <c r="G633" t="s">
        <v>2566</v>
      </c>
      <c r="H633">
        <v>201134.51</v>
      </c>
      <c r="I633">
        <v>0</v>
      </c>
      <c r="J633">
        <v>34</v>
      </c>
      <c r="K633" t="s">
        <v>2558</v>
      </c>
    </row>
    <row r="634" spans="1:11">
      <c r="A634" t="s">
        <v>2614</v>
      </c>
      <c r="B634" t="s">
        <v>1123</v>
      </c>
      <c r="C634" t="s">
        <v>2580</v>
      </c>
      <c r="D634" s="1">
        <v>46173</v>
      </c>
      <c r="E634" s="1">
        <v>46188</v>
      </c>
      <c r="F634">
        <v>47978.06</v>
      </c>
      <c r="G634" t="s">
        <v>2557</v>
      </c>
      <c r="H634">
        <v>47978.06</v>
      </c>
      <c r="I634">
        <v>0</v>
      </c>
      <c r="J634">
        <v>77</v>
      </c>
      <c r="K634" t="s">
        <v>2558</v>
      </c>
    </row>
    <row r="635" spans="1:11">
      <c r="A635" t="s">
        <v>2614</v>
      </c>
      <c r="B635" t="s">
        <v>2654</v>
      </c>
      <c r="C635" t="s">
        <v>2564</v>
      </c>
      <c r="D635" s="1">
        <v>46167</v>
      </c>
      <c r="E635" s="1">
        <v>46227</v>
      </c>
      <c r="F635">
        <v>447881.21</v>
      </c>
      <c r="G635" t="s">
        <v>2562</v>
      </c>
      <c r="I635">
        <v>447881.21</v>
      </c>
      <c r="J635">
        <v>38</v>
      </c>
      <c r="K635" t="s">
        <v>2636</v>
      </c>
    </row>
    <row r="636" spans="1:11">
      <c r="A636" t="s">
        <v>2631</v>
      </c>
      <c r="B636" t="s">
        <v>1126</v>
      </c>
      <c r="C636" t="s">
        <v>2571</v>
      </c>
      <c r="D636" s="1">
        <v>46178</v>
      </c>
      <c r="E636" s="1">
        <v>46223</v>
      </c>
      <c r="F636">
        <v>1469316.71</v>
      </c>
      <c r="G636" t="s">
        <v>2568</v>
      </c>
      <c r="H636">
        <v>1469316.71</v>
      </c>
      <c r="I636">
        <v>0</v>
      </c>
      <c r="J636">
        <v>42</v>
      </c>
      <c r="K636" t="s">
        <v>2558</v>
      </c>
    </row>
    <row r="637" spans="1:11">
      <c r="A637" t="s">
        <v>2614</v>
      </c>
      <c r="B637" t="s">
        <v>1281</v>
      </c>
      <c r="C637" t="s">
        <v>2585</v>
      </c>
      <c r="D637" s="1">
        <v>46167</v>
      </c>
      <c r="E637" s="1">
        <v>46197</v>
      </c>
      <c r="F637">
        <v>65148.89</v>
      </c>
      <c r="G637" t="s">
        <v>2562</v>
      </c>
      <c r="H637">
        <v>65148.89</v>
      </c>
      <c r="I637">
        <v>0</v>
      </c>
      <c r="J637">
        <v>68</v>
      </c>
      <c r="K637" t="s">
        <v>2558</v>
      </c>
    </row>
    <row r="638" spans="1:11">
      <c r="A638" t="s">
        <v>2655</v>
      </c>
      <c r="B638" t="s">
        <v>1128</v>
      </c>
      <c r="C638" t="s">
        <v>2595</v>
      </c>
      <c r="D638" s="1">
        <v>46204</v>
      </c>
      <c r="E638" s="1">
        <v>46234</v>
      </c>
      <c r="F638">
        <v>118696.3</v>
      </c>
      <c r="G638" t="s">
        <v>2568</v>
      </c>
      <c r="H638">
        <v>118696.3</v>
      </c>
      <c r="I638">
        <v>0</v>
      </c>
      <c r="J638">
        <v>31</v>
      </c>
      <c r="K638" t="s">
        <v>2558</v>
      </c>
    </row>
    <row r="639" spans="1:11">
      <c r="A639" t="s">
        <v>2614</v>
      </c>
      <c r="B639" t="s">
        <v>2061</v>
      </c>
      <c r="C639" t="s">
        <v>2582</v>
      </c>
      <c r="D639" s="1">
        <v>46167</v>
      </c>
      <c r="E639" s="1">
        <v>46197</v>
      </c>
      <c r="F639">
        <v>117960.61</v>
      </c>
      <c r="G639" t="s">
        <v>2557</v>
      </c>
      <c r="H639">
        <v>117960.61</v>
      </c>
      <c r="I639">
        <v>0</v>
      </c>
      <c r="J639">
        <v>68</v>
      </c>
      <c r="K639" t="s">
        <v>2558</v>
      </c>
    </row>
    <row r="640" spans="1:11">
      <c r="A640" t="s">
        <v>2631</v>
      </c>
      <c r="B640" t="s">
        <v>1132</v>
      </c>
      <c r="C640" t="s">
        <v>2585</v>
      </c>
      <c r="D640" s="1">
        <v>46185</v>
      </c>
      <c r="E640" s="1">
        <v>46215</v>
      </c>
      <c r="F640">
        <v>478512.97</v>
      </c>
      <c r="G640" t="s">
        <v>2562</v>
      </c>
      <c r="H640">
        <v>478512.97</v>
      </c>
      <c r="I640">
        <v>0</v>
      </c>
      <c r="J640">
        <v>50</v>
      </c>
      <c r="K640" t="s">
        <v>2558</v>
      </c>
    </row>
    <row r="641" spans="1:11">
      <c r="A641" t="s">
        <v>2614</v>
      </c>
      <c r="B641" t="s">
        <v>1811</v>
      </c>
      <c r="C641" t="s">
        <v>2589</v>
      </c>
      <c r="D641" s="1">
        <v>46167</v>
      </c>
      <c r="E641" s="1">
        <v>46197</v>
      </c>
      <c r="F641">
        <v>35471.040000000001</v>
      </c>
      <c r="G641" t="s">
        <v>2568</v>
      </c>
      <c r="H641">
        <v>35471.040000000001</v>
      </c>
      <c r="I641">
        <v>0</v>
      </c>
      <c r="J641">
        <v>68</v>
      </c>
      <c r="K641" t="s">
        <v>2558</v>
      </c>
    </row>
    <row r="642" spans="1:11">
      <c r="A642" t="s">
        <v>2631</v>
      </c>
      <c r="B642" t="s">
        <v>1134</v>
      </c>
      <c r="C642" t="s">
        <v>2595</v>
      </c>
      <c r="D642" s="1">
        <v>46190</v>
      </c>
      <c r="E642" s="1">
        <v>46220</v>
      </c>
      <c r="F642">
        <v>72120.05</v>
      </c>
      <c r="G642" t="s">
        <v>2568</v>
      </c>
      <c r="H642">
        <v>72120.05</v>
      </c>
      <c r="I642">
        <v>0</v>
      </c>
      <c r="J642">
        <v>45</v>
      </c>
      <c r="K642" t="s">
        <v>2558</v>
      </c>
    </row>
    <row r="643" spans="1:11">
      <c r="A643" t="s">
        <v>2631</v>
      </c>
      <c r="B643" t="s">
        <v>1136</v>
      </c>
      <c r="C643" t="s">
        <v>2594</v>
      </c>
      <c r="D643" s="1">
        <v>46179</v>
      </c>
      <c r="E643" s="1">
        <v>46209</v>
      </c>
      <c r="F643">
        <v>164617.60000000001</v>
      </c>
      <c r="G643" t="s">
        <v>2557</v>
      </c>
      <c r="H643">
        <v>164617.60000000001</v>
      </c>
      <c r="I643">
        <v>0</v>
      </c>
      <c r="J643">
        <v>56</v>
      </c>
      <c r="K643" t="s">
        <v>2558</v>
      </c>
    </row>
    <row r="644" spans="1:11">
      <c r="A644" t="s">
        <v>2614</v>
      </c>
      <c r="B644" t="s">
        <v>1882</v>
      </c>
      <c r="C644" t="s">
        <v>2582</v>
      </c>
      <c r="D644" s="1">
        <v>46167</v>
      </c>
      <c r="E644" s="1">
        <v>46197</v>
      </c>
      <c r="F644">
        <v>64645.7</v>
      </c>
      <c r="G644" t="s">
        <v>2557</v>
      </c>
      <c r="H644">
        <v>64645.7</v>
      </c>
      <c r="I644">
        <v>0</v>
      </c>
      <c r="J644">
        <v>68</v>
      </c>
      <c r="K644" t="s">
        <v>2558</v>
      </c>
    </row>
    <row r="645" spans="1:11">
      <c r="A645" t="s">
        <v>2631</v>
      </c>
      <c r="B645" t="s">
        <v>1138</v>
      </c>
      <c r="C645" t="s">
        <v>2567</v>
      </c>
      <c r="D645" s="1">
        <v>46181</v>
      </c>
      <c r="E645" s="1">
        <v>46226</v>
      </c>
      <c r="F645">
        <v>472557.11</v>
      </c>
      <c r="G645" t="s">
        <v>2568</v>
      </c>
      <c r="H645">
        <v>472557.11</v>
      </c>
      <c r="I645">
        <v>0</v>
      </c>
      <c r="J645">
        <v>39</v>
      </c>
      <c r="K645" t="s">
        <v>2558</v>
      </c>
    </row>
    <row r="646" spans="1:11">
      <c r="A646" t="s">
        <v>2614</v>
      </c>
      <c r="B646" t="s">
        <v>1559</v>
      </c>
      <c r="C646" t="s">
        <v>2561</v>
      </c>
      <c r="D646" s="1">
        <v>46167</v>
      </c>
      <c r="E646" s="1">
        <v>46212</v>
      </c>
      <c r="F646">
        <v>227605.26</v>
      </c>
      <c r="G646" t="s">
        <v>2562</v>
      </c>
      <c r="H646">
        <v>227605.26</v>
      </c>
      <c r="I646">
        <v>0</v>
      </c>
      <c r="J646">
        <v>53</v>
      </c>
      <c r="K646" t="s">
        <v>2558</v>
      </c>
    </row>
    <row r="647" spans="1:11">
      <c r="A647" t="s">
        <v>2614</v>
      </c>
      <c r="B647" t="s">
        <v>1884</v>
      </c>
      <c r="C647" t="s">
        <v>2556</v>
      </c>
      <c r="D647" s="1">
        <v>46167</v>
      </c>
      <c r="E647" s="1">
        <v>46197</v>
      </c>
      <c r="F647">
        <v>118347.62</v>
      </c>
      <c r="G647" t="s">
        <v>2557</v>
      </c>
      <c r="H647">
        <v>118347.62</v>
      </c>
      <c r="I647">
        <v>0</v>
      </c>
      <c r="J647">
        <v>68</v>
      </c>
      <c r="K647" t="s">
        <v>2558</v>
      </c>
    </row>
    <row r="648" spans="1:11">
      <c r="A648" t="s">
        <v>2614</v>
      </c>
      <c r="B648" t="s">
        <v>2184</v>
      </c>
      <c r="C648" t="s">
        <v>2599</v>
      </c>
      <c r="D648" s="1">
        <v>46168</v>
      </c>
      <c r="E648" s="1">
        <v>46228</v>
      </c>
      <c r="F648">
        <v>248686.84</v>
      </c>
      <c r="G648" t="s">
        <v>2562</v>
      </c>
      <c r="H648">
        <v>248686.84</v>
      </c>
      <c r="I648">
        <v>0</v>
      </c>
      <c r="J648">
        <v>37</v>
      </c>
      <c r="K648" t="s">
        <v>2558</v>
      </c>
    </row>
    <row r="649" spans="1:11">
      <c r="A649" t="s">
        <v>2631</v>
      </c>
      <c r="B649" t="s">
        <v>1149</v>
      </c>
      <c r="C649" t="s">
        <v>2597</v>
      </c>
      <c r="D649" s="1">
        <v>46186</v>
      </c>
      <c r="E649" s="1">
        <v>46231</v>
      </c>
      <c r="F649">
        <v>77418.06</v>
      </c>
      <c r="G649" t="s">
        <v>2574</v>
      </c>
      <c r="H649">
        <v>77418.06</v>
      </c>
      <c r="I649">
        <v>0</v>
      </c>
      <c r="J649">
        <v>34</v>
      </c>
      <c r="K649" t="s">
        <v>2558</v>
      </c>
    </row>
    <row r="650" spans="1:11">
      <c r="A650" t="s">
        <v>2614</v>
      </c>
      <c r="B650" t="s">
        <v>2186</v>
      </c>
      <c r="C650" t="s">
        <v>2613</v>
      </c>
      <c r="D650" s="1">
        <v>46168</v>
      </c>
      <c r="E650" s="1">
        <v>46228</v>
      </c>
      <c r="F650">
        <v>212175.83</v>
      </c>
      <c r="G650" t="s">
        <v>2560</v>
      </c>
      <c r="H650">
        <v>120274.05</v>
      </c>
      <c r="I650">
        <v>91901.78</v>
      </c>
      <c r="J650">
        <v>37</v>
      </c>
      <c r="K650" t="s">
        <v>2636</v>
      </c>
    </row>
    <row r="651" spans="1:11">
      <c r="A651" t="s">
        <v>2631</v>
      </c>
      <c r="B651" t="s">
        <v>1156</v>
      </c>
      <c r="C651" t="s">
        <v>2588</v>
      </c>
      <c r="D651" s="1">
        <v>46184</v>
      </c>
      <c r="E651" s="1">
        <v>46214</v>
      </c>
      <c r="F651">
        <v>158673.85999999999</v>
      </c>
      <c r="G651" t="s">
        <v>2562</v>
      </c>
      <c r="H651">
        <v>158673.85999999999</v>
      </c>
      <c r="I651">
        <v>0</v>
      </c>
      <c r="J651">
        <v>51</v>
      </c>
      <c r="K651" t="s">
        <v>2558</v>
      </c>
    </row>
    <row r="652" spans="1:11">
      <c r="A652" t="s">
        <v>2614</v>
      </c>
      <c r="B652" t="s">
        <v>2151</v>
      </c>
      <c r="C652" t="s">
        <v>2556</v>
      </c>
      <c r="D652" s="1">
        <v>46168</v>
      </c>
      <c r="E652" s="1">
        <v>46198</v>
      </c>
      <c r="F652">
        <v>250121.07</v>
      </c>
      <c r="G652" t="s">
        <v>2557</v>
      </c>
      <c r="H652">
        <v>250121.07</v>
      </c>
      <c r="I652">
        <v>0</v>
      </c>
      <c r="J652">
        <v>67</v>
      </c>
      <c r="K652" t="s">
        <v>2558</v>
      </c>
    </row>
    <row r="653" spans="1:11">
      <c r="A653" t="s">
        <v>2614</v>
      </c>
      <c r="B653" t="s">
        <v>1657</v>
      </c>
      <c r="C653" t="s">
        <v>2569</v>
      </c>
      <c r="D653" s="1">
        <v>46169</v>
      </c>
      <c r="E653" s="1">
        <v>46184</v>
      </c>
      <c r="F653">
        <v>23169.98</v>
      </c>
      <c r="G653" t="s">
        <v>2557</v>
      </c>
      <c r="H653">
        <v>23169.98</v>
      </c>
      <c r="I653">
        <v>0</v>
      </c>
      <c r="J653">
        <v>81</v>
      </c>
      <c r="K653" t="s">
        <v>2558</v>
      </c>
    </row>
    <row r="654" spans="1:11">
      <c r="A654" t="s">
        <v>2614</v>
      </c>
      <c r="B654" t="s">
        <v>1300</v>
      </c>
      <c r="C654" t="s">
        <v>2569</v>
      </c>
      <c r="D654" s="1">
        <v>46169</v>
      </c>
      <c r="E654" s="1">
        <v>46184</v>
      </c>
      <c r="F654">
        <v>189568.97</v>
      </c>
      <c r="G654" t="s">
        <v>2557</v>
      </c>
      <c r="H654">
        <v>189568.97</v>
      </c>
      <c r="I654">
        <v>0</v>
      </c>
      <c r="J654">
        <v>81</v>
      </c>
      <c r="K654" t="s">
        <v>2558</v>
      </c>
    </row>
    <row r="655" spans="1:11">
      <c r="A655" t="s">
        <v>2614</v>
      </c>
      <c r="B655" t="s">
        <v>1166</v>
      </c>
      <c r="C655" t="s">
        <v>2569</v>
      </c>
      <c r="D655" s="1">
        <v>46171</v>
      </c>
      <c r="E655" s="1">
        <v>46186</v>
      </c>
      <c r="F655">
        <v>10306.620000000001</v>
      </c>
      <c r="G655" t="s">
        <v>2557</v>
      </c>
      <c r="H655">
        <v>10306.620000000001</v>
      </c>
      <c r="I655">
        <v>0</v>
      </c>
      <c r="J655">
        <v>79</v>
      </c>
      <c r="K655" t="s">
        <v>2558</v>
      </c>
    </row>
    <row r="656" spans="1:11">
      <c r="A656" t="s">
        <v>2614</v>
      </c>
      <c r="B656" t="s">
        <v>1475</v>
      </c>
      <c r="C656" t="s">
        <v>2583</v>
      </c>
      <c r="D656" s="1">
        <v>46169</v>
      </c>
      <c r="E656" s="1">
        <v>46229</v>
      </c>
      <c r="F656">
        <v>61469.87</v>
      </c>
      <c r="G656" t="s">
        <v>2562</v>
      </c>
      <c r="H656">
        <v>61469.87</v>
      </c>
      <c r="I656">
        <v>0</v>
      </c>
      <c r="J656">
        <v>36</v>
      </c>
      <c r="K656" t="s">
        <v>2558</v>
      </c>
    </row>
    <row r="657" spans="1:11">
      <c r="A657" t="s">
        <v>2631</v>
      </c>
      <c r="B657" t="s">
        <v>1168</v>
      </c>
      <c r="C657" t="s">
        <v>2559</v>
      </c>
      <c r="D657" s="1">
        <v>46178</v>
      </c>
      <c r="E657" s="1">
        <v>46193</v>
      </c>
      <c r="F657">
        <v>23005.67</v>
      </c>
      <c r="G657" t="s">
        <v>2560</v>
      </c>
      <c r="H657">
        <v>23005.67</v>
      </c>
      <c r="I657">
        <v>0</v>
      </c>
      <c r="J657">
        <v>72</v>
      </c>
      <c r="K657" t="s">
        <v>2558</v>
      </c>
    </row>
    <row r="658" spans="1:11">
      <c r="A658" t="s">
        <v>2631</v>
      </c>
      <c r="B658" t="s">
        <v>1170</v>
      </c>
      <c r="C658" t="s">
        <v>2611</v>
      </c>
      <c r="D658" s="1">
        <v>46190</v>
      </c>
      <c r="E658" s="1">
        <v>46235</v>
      </c>
      <c r="F658">
        <v>643696.89</v>
      </c>
      <c r="G658" t="s">
        <v>2566</v>
      </c>
      <c r="H658">
        <v>643696.89</v>
      </c>
      <c r="I658">
        <v>0</v>
      </c>
      <c r="J658">
        <v>30</v>
      </c>
      <c r="K658" t="s">
        <v>2558</v>
      </c>
    </row>
    <row r="659" spans="1:11">
      <c r="A659" t="s">
        <v>2631</v>
      </c>
      <c r="B659" t="s">
        <v>1172</v>
      </c>
      <c r="C659" t="s">
        <v>2585</v>
      </c>
      <c r="D659" s="1">
        <v>46191</v>
      </c>
      <c r="E659" s="1">
        <v>46221</v>
      </c>
      <c r="F659">
        <v>148780.01999999999</v>
      </c>
      <c r="G659" t="s">
        <v>2562</v>
      </c>
      <c r="H659">
        <v>148780.02000000002</v>
      </c>
      <c r="I659">
        <v>0</v>
      </c>
      <c r="J659">
        <v>44</v>
      </c>
      <c r="K659" t="s">
        <v>2558</v>
      </c>
    </row>
    <row r="660" spans="1:11">
      <c r="A660" t="s">
        <v>2631</v>
      </c>
      <c r="B660" t="s">
        <v>1174</v>
      </c>
      <c r="C660" t="s">
        <v>2571</v>
      </c>
      <c r="D660" s="1">
        <v>46197</v>
      </c>
      <c r="E660" s="1">
        <v>46242</v>
      </c>
      <c r="F660">
        <v>1094604.05</v>
      </c>
      <c r="G660" t="s">
        <v>2568</v>
      </c>
      <c r="H660">
        <v>1094604.05</v>
      </c>
      <c r="I660">
        <v>0</v>
      </c>
      <c r="J660">
        <v>23</v>
      </c>
      <c r="K660" t="s">
        <v>2558</v>
      </c>
    </row>
    <row r="661" spans="1:11">
      <c r="A661" t="s">
        <v>2631</v>
      </c>
      <c r="B661" t="s">
        <v>1176</v>
      </c>
      <c r="C661" t="s">
        <v>2620</v>
      </c>
      <c r="D661" s="1">
        <v>46199</v>
      </c>
      <c r="E661" s="1">
        <v>46229</v>
      </c>
      <c r="F661">
        <v>36845.599999999999</v>
      </c>
      <c r="G661" t="s">
        <v>2568</v>
      </c>
      <c r="H661">
        <v>36845.599999999999</v>
      </c>
      <c r="I661">
        <v>0</v>
      </c>
      <c r="J661">
        <v>36</v>
      </c>
      <c r="K661" t="s">
        <v>2558</v>
      </c>
    </row>
    <row r="662" spans="1:11">
      <c r="A662" t="s">
        <v>2631</v>
      </c>
      <c r="B662" t="s">
        <v>1183</v>
      </c>
      <c r="C662" t="s">
        <v>2559</v>
      </c>
      <c r="D662" s="1">
        <v>46180</v>
      </c>
      <c r="E662" s="1">
        <v>46195</v>
      </c>
      <c r="F662">
        <v>251696.46</v>
      </c>
      <c r="G662" t="s">
        <v>2560</v>
      </c>
      <c r="H662">
        <v>251696.46</v>
      </c>
      <c r="I662">
        <v>0</v>
      </c>
      <c r="J662">
        <v>70</v>
      </c>
      <c r="K662" t="s">
        <v>2558</v>
      </c>
    </row>
    <row r="663" spans="1:11">
      <c r="A663" t="s">
        <v>2614</v>
      </c>
      <c r="B663" t="s">
        <v>1813</v>
      </c>
      <c r="C663" t="s">
        <v>2556</v>
      </c>
      <c r="D663" s="1">
        <v>46170</v>
      </c>
      <c r="E663" s="1">
        <v>46200</v>
      </c>
      <c r="F663">
        <v>67471.45</v>
      </c>
      <c r="G663" t="s">
        <v>2557</v>
      </c>
      <c r="H663">
        <v>67471.45</v>
      </c>
      <c r="I663">
        <v>0</v>
      </c>
      <c r="J663">
        <v>65</v>
      </c>
      <c r="K663" t="s">
        <v>2558</v>
      </c>
    </row>
    <row r="664" spans="1:11">
      <c r="A664" t="s">
        <v>2631</v>
      </c>
      <c r="B664" t="s">
        <v>1185</v>
      </c>
      <c r="C664" t="s">
        <v>2579</v>
      </c>
      <c r="D664" s="1">
        <v>46194</v>
      </c>
      <c r="E664" s="1">
        <v>46224</v>
      </c>
      <c r="F664">
        <v>395170.38</v>
      </c>
      <c r="G664" t="s">
        <v>2557</v>
      </c>
      <c r="H664">
        <v>395170.38</v>
      </c>
      <c r="I664">
        <v>0</v>
      </c>
      <c r="J664">
        <v>41</v>
      </c>
      <c r="K664" t="s">
        <v>2558</v>
      </c>
    </row>
    <row r="665" spans="1:11">
      <c r="A665" t="s">
        <v>2631</v>
      </c>
      <c r="B665" t="s">
        <v>1187</v>
      </c>
      <c r="C665" t="s">
        <v>2579</v>
      </c>
      <c r="D665" s="1">
        <v>46196</v>
      </c>
      <c r="E665" s="1">
        <v>46226</v>
      </c>
      <c r="F665">
        <v>248076.59</v>
      </c>
      <c r="G665" t="s">
        <v>2557</v>
      </c>
      <c r="H665">
        <v>248076.59</v>
      </c>
      <c r="I665">
        <v>0</v>
      </c>
      <c r="J665">
        <v>39</v>
      </c>
      <c r="K665" t="s">
        <v>2558</v>
      </c>
    </row>
    <row r="666" spans="1:11">
      <c r="A666" t="s">
        <v>2655</v>
      </c>
      <c r="B666" t="s">
        <v>1189</v>
      </c>
      <c r="C666" t="s">
        <v>2580</v>
      </c>
      <c r="D666" s="1">
        <v>46205</v>
      </c>
      <c r="E666" s="1">
        <v>46220</v>
      </c>
      <c r="F666">
        <v>29914.51</v>
      </c>
      <c r="G666" t="s">
        <v>2557</v>
      </c>
      <c r="H666">
        <v>29914.51</v>
      </c>
      <c r="I666">
        <v>0</v>
      </c>
      <c r="J666">
        <v>45</v>
      </c>
      <c r="K666" t="s">
        <v>2558</v>
      </c>
    </row>
    <row r="667" spans="1:11">
      <c r="A667" t="s">
        <v>2614</v>
      </c>
      <c r="B667" t="s">
        <v>2656</v>
      </c>
      <c r="C667" t="s">
        <v>2579</v>
      </c>
      <c r="D667" s="1">
        <v>46170</v>
      </c>
      <c r="E667" s="1">
        <v>46200</v>
      </c>
      <c r="F667">
        <v>474734.02</v>
      </c>
      <c r="G667" t="s">
        <v>2557</v>
      </c>
      <c r="I667">
        <v>474734.02</v>
      </c>
      <c r="J667">
        <v>65</v>
      </c>
      <c r="K667" t="s">
        <v>2609</v>
      </c>
    </row>
    <row r="668" spans="1:11">
      <c r="A668" t="s">
        <v>2614</v>
      </c>
      <c r="B668" t="s">
        <v>1193</v>
      </c>
      <c r="C668" t="s">
        <v>2571</v>
      </c>
      <c r="D668" s="1">
        <v>46172</v>
      </c>
      <c r="E668" s="1">
        <v>46217</v>
      </c>
      <c r="F668">
        <v>187312.63</v>
      </c>
      <c r="G668" t="s">
        <v>2568</v>
      </c>
      <c r="H668">
        <v>187312.63</v>
      </c>
      <c r="I668">
        <v>0</v>
      </c>
      <c r="J668">
        <v>48</v>
      </c>
      <c r="K668" t="s">
        <v>2558</v>
      </c>
    </row>
    <row r="669" spans="1:11">
      <c r="A669" t="s">
        <v>2631</v>
      </c>
      <c r="B669" t="s">
        <v>1195</v>
      </c>
      <c r="C669" t="s">
        <v>2597</v>
      </c>
      <c r="D669" s="1">
        <v>46199</v>
      </c>
      <c r="E669" s="1">
        <v>46244</v>
      </c>
      <c r="F669">
        <v>75683.179999999993</v>
      </c>
      <c r="G669" t="s">
        <v>2574</v>
      </c>
      <c r="H669">
        <v>75683.179999999993</v>
      </c>
      <c r="I669">
        <v>0</v>
      </c>
      <c r="J669">
        <v>21</v>
      </c>
      <c r="K669" t="s">
        <v>2558</v>
      </c>
    </row>
    <row r="670" spans="1:11">
      <c r="A670" t="s">
        <v>2614</v>
      </c>
      <c r="B670" t="s">
        <v>2396</v>
      </c>
      <c r="C670" t="s">
        <v>2611</v>
      </c>
      <c r="D670" s="1">
        <v>46171</v>
      </c>
      <c r="E670" s="1">
        <v>46216</v>
      </c>
      <c r="F670">
        <v>658845.54</v>
      </c>
      <c r="G670" t="s">
        <v>2566</v>
      </c>
      <c r="H670">
        <v>658845.54</v>
      </c>
      <c r="I670">
        <v>0</v>
      </c>
      <c r="J670">
        <v>49</v>
      </c>
      <c r="K670" t="s">
        <v>2558</v>
      </c>
    </row>
    <row r="671" spans="1:11">
      <c r="A671" t="s">
        <v>2614</v>
      </c>
      <c r="B671" t="s">
        <v>1886</v>
      </c>
      <c r="C671" t="s">
        <v>2612</v>
      </c>
      <c r="D671" s="1">
        <v>46171</v>
      </c>
      <c r="E671" s="1">
        <v>46201</v>
      </c>
      <c r="F671">
        <v>45548.29</v>
      </c>
      <c r="G671" t="s">
        <v>2566</v>
      </c>
      <c r="H671">
        <v>45548.29</v>
      </c>
      <c r="I671">
        <v>0</v>
      </c>
      <c r="J671">
        <v>64</v>
      </c>
      <c r="K671" t="s">
        <v>2558</v>
      </c>
    </row>
    <row r="672" spans="1:11">
      <c r="A672" t="s">
        <v>2631</v>
      </c>
      <c r="B672" t="s">
        <v>1201</v>
      </c>
      <c r="C672" t="s">
        <v>2600</v>
      </c>
      <c r="D672" s="1">
        <v>46200</v>
      </c>
      <c r="E672" s="1">
        <v>46230</v>
      </c>
      <c r="F672">
        <v>50944.34</v>
      </c>
      <c r="G672" t="s">
        <v>2568</v>
      </c>
      <c r="H672">
        <v>50944.34</v>
      </c>
      <c r="I672">
        <v>0</v>
      </c>
      <c r="J672">
        <v>35</v>
      </c>
      <c r="K672" t="s">
        <v>2558</v>
      </c>
    </row>
    <row r="673" spans="1:11">
      <c r="A673" t="s">
        <v>2614</v>
      </c>
      <c r="B673" t="s">
        <v>1477</v>
      </c>
      <c r="C673" t="s">
        <v>2570</v>
      </c>
      <c r="D673" s="1">
        <v>46171</v>
      </c>
      <c r="E673" s="1">
        <v>46201</v>
      </c>
      <c r="F673">
        <v>602446.54</v>
      </c>
      <c r="G673" t="s">
        <v>2557</v>
      </c>
      <c r="H673">
        <v>324443.59999999998</v>
      </c>
      <c r="I673">
        <v>278002.94</v>
      </c>
      <c r="J673">
        <v>64</v>
      </c>
      <c r="K673" t="s">
        <v>2609</v>
      </c>
    </row>
    <row r="674" spans="1:11">
      <c r="A674" t="s">
        <v>2631</v>
      </c>
      <c r="B674" t="s">
        <v>1203</v>
      </c>
      <c r="C674" t="s">
        <v>2577</v>
      </c>
      <c r="D674" s="1">
        <v>46201</v>
      </c>
      <c r="E674" s="1">
        <v>46231</v>
      </c>
      <c r="F674">
        <v>183421.88</v>
      </c>
      <c r="G674" t="s">
        <v>2562</v>
      </c>
      <c r="H674">
        <v>183421.88</v>
      </c>
      <c r="I674">
        <v>0</v>
      </c>
      <c r="J674">
        <v>34</v>
      </c>
      <c r="K674" t="s">
        <v>2558</v>
      </c>
    </row>
    <row r="675" spans="1:11">
      <c r="A675" t="s">
        <v>2655</v>
      </c>
      <c r="B675" t="s">
        <v>1205</v>
      </c>
      <c r="C675" t="s">
        <v>2565</v>
      </c>
      <c r="D675" s="1">
        <v>46215</v>
      </c>
      <c r="E675" s="1">
        <v>46230</v>
      </c>
      <c r="F675">
        <v>48795.17</v>
      </c>
      <c r="G675" t="s">
        <v>2566</v>
      </c>
      <c r="H675">
        <v>24534.55</v>
      </c>
      <c r="I675">
        <v>24260.62</v>
      </c>
      <c r="J675">
        <v>35</v>
      </c>
      <c r="K675" t="s">
        <v>2636</v>
      </c>
    </row>
    <row r="676" spans="1:11">
      <c r="A676" t="s">
        <v>2614</v>
      </c>
      <c r="B676" t="s">
        <v>2188</v>
      </c>
      <c r="C676" t="s">
        <v>2595</v>
      </c>
      <c r="D676" s="1">
        <v>46171</v>
      </c>
      <c r="E676" s="1">
        <v>46201</v>
      </c>
      <c r="F676">
        <v>58226.27</v>
      </c>
      <c r="G676" t="s">
        <v>2568</v>
      </c>
      <c r="H676">
        <v>58226.27</v>
      </c>
      <c r="I676">
        <v>0</v>
      </c>
      <c r="J676">
        <v>64</v>
      </c>
      <c r="K676" t="s">
        <v>2558</v>
      </c>
    </row>
    <row r="677" spans="1:11">
      <c r="A677" t="s">
        <v>2631</v>
      </c>
      <c r="B677" t="s">
        <v>1211</v>
      </c>
      <c r="C677" t="s">
        <v>2576</v>
      </c>
      <c r="D677" s="1">
        <v>46181</v>
      </c>
      <c r="E677" s="1">
        <v>46226</v>
      </c>
      <c r="F677">
        <v>376788.52</v>
      </c>
      <c r="G677" t="s">
        <v>2566</v>
      </c>
      <c r="H677">
        <v>376788.52</v>
      </c>
      <c r="I677">
        <v>0</v>
      </c>
      <c r="J677">
        <v>39</v>
      </c>
      <c r="K677" t="s">
        <v>2558</v>
      </c>
    </row>
    <row r="678" spans="1:11">
      <c r="A678" t="s">
        <v>2614</v>
      </c>
      <c r="B678" t="s">
        <v>1398</v>
      </c>
      <c r="C678" t="s">
        <v>2569</v>
      </c>
      <c r="D678" s="1">
        <v>46171</v>
      </c>
      <c r="E678" s="1">
        <v>46186</v>
      </c>
      <c r="F678">
        <v>12982.49</v>
      </c>
      <c r="G678" t="s">
        <v>2557</v>
      </c>
      <c r="H678">
        <v>12982.49</v>
      </c>
      <c r="I678">
        <v>0</v>
      </c>
      <c r="J678">
        <v>79</v>
      </c>
      <c r="K678" t="s">
        <v>2558</v>
      </c>
    </row>
    <row r="679" spans="1:11">
      <c r="A679" t="s">
        <v>2631</v>
      </c>
      <c r="B679" t="s">
        <v>1214</v>
      </c>
      <c r="C679" t="s">
        <v>2573</v>
      </c>
      <c r="D679" s="1">
        <v>46181</v>
      </c>
      <c r="E679" s="1">
        <v>46211</v>
      </c>
      <c r="F679">
        <v>10585.47</v>
      </c>
      <c r="G679" t="s">
        <v>2574</v>
      </c>
      <c r="H679">
        <v>10585.47</v>
      </c>
      <c r="I679">
        <v>0</v>
      </c>
      <c r="J679">
        <v>54</v>
      </c>
      <c r="K679" t="s">
        <v>2558</v>
      </c>
    </row>
    <row r="680" spans="1:11">
      <c r="A680" t="s">
        <v>2631</v>
      </c>
      <c r="B680" t="s">
        <v>1217</v>
      </c>
      <c r="C680" t="s">
        <v>2608</v>
      </c>
      <c r="D680" s="1">
        <v>46198</v>
      </c>
      <c r="E680" s="1">
        <v>46243</v>
      </c>
      <c r="F680">
        <v>38832.92</v>
      </c>
      <c r="G680" t="s">
        <v>2560</v>
      </c>
      <c r="H680">
        <v>38832.92</v>
      </c>
      <c r="I680">
        <v>0</v>
      </c>
      <c r="J680">
        <v>22</v>
      </c>
      <c r="K680" t="s">
        <v>2558</v>
      </c>
    </row>
    <row r="681" spans="1:11">
      <c r="A681" t="s">
        <v>2614</v>
      </c>
      <c r="B681" t="s">
        <v>2657</v>
      </c>
      <c r="C681" t="s">
        <v>2576</v>
      </c>
      <c r="D681" s="1">
        <v>46171</v>
      </c>
      <c r="E681" s="1">
        <v>46216</v>
      </c>
      <c r="F681">
        <v>348796.43</v>
      </c>
      <c r="G681" t="s">
        <v>2566</v>
      </c>
      <c r="I681">
        <v>348796.43</v>
      </c>
      <c r="J681">
        <v>49</v>
      </c>
      <c r="K681" t="s">
        <v>2636</v>
      </c>
    </row>
    <row r="682" spans="1:11">
      <c r="A682" t="s">
        <v>2631</v>
      </c>
      <c r="B682" t="s">
        <v>1219</v>
      </c>
      <c r="C682" t="s">
        <v>2585</v>
      </c>
      <c r="D682" s="1">
        <v>46200</v>
      </c>
      <c r="E682" s="1">
        <v>46230</v>
      </c>
      <c r="F682">
        <v>27888.31</v>
      </c>
      <c r="G682" t="s">
        <v>2562</v>
      </c>
      <c r="H682">
        <v>27888.31</v>
      </c>
      <c r="I682">
        <v>0</v>
      </c>
      <c r="J682">
        <v>35</v>
      </c>
      <c r="K682" t="s">
        <v>2558</v>
      </c>
    </row>
    <row r="683" spans="1:11">
      <c r="A683" t="s">
        <v>2614</v>
      </c>
      <c r="B683" t="s">
        <v>1561</v>
      </c>
      <c r="C683" t="s">
        <v>2570</v>
      </c>
      <c r="D683" s="1">
        <v>46171</v>
      </c>
      <c r="E683" s="1">
        <v>46201</v>
      </c>
      <c r="F683">
        <v>161223.25</v>
      </c>
      <c r="G683" t="s">
        <v>2557</v>
      </c>
      <c r="H683">
        <v>94538.4</v>
      </c>
      <c r="I683">
        <v>66684.850000000006</v>
      </c>
      <c r="J683">
        <v>64</v>
      </c>
      <c r="K683" t="s">
        <v>2609</v>
      </c>
    </row>
    <row r="684" spans="1:11">
      <c r="A684" t="s">
        <v>2631</v>
      </c>
      <c r="B684" t="s">
        <v>1223</v>
      </c>
      <c r="C684" t="s">
        <v>2585</v>
      </c>
      <c r="D684" s="1">
        <v>46192</v>
      </c>
      <c r="E684" s="1">
        <v>46222</v>
      </c>
      <c r="F684">
        <v>270624.28000000003</v>
      </c>
      <c r="G684" t="s">
        <v>2562</v>
      </c>
      <c r="H684">
        <v>270624.28000000003</v>
      </c>
      <c r="I684">
        <v>0</v>
      </c>
      <c r="J684">
        <v>43</v>
      </c>
      <c r="K684" t="s">
        <v>2558</v>
      </c>
    </row>
    <row r="685" spans="1:11">
      <c r="A685" t="s">
        <v>2614</v>
      </c>
      <c r="B685" t="s">
        <v>2658</v>
      </c>
      <c r="C685" t="s">
        <v>2602</v>
      </c>
      <c r="D685" s="1">
        <v>46172</v>
      </c>
      <c r="E685" s="1">
        <v>46232</v>
      </c>
      <c r="F685">
        <v>450135.82</v>
      </c>
      <c r="G685" t="s">
        <v>2562</v>
      </c>
      <c r="I685">
        <v>450135.82</v>
      </c>
      <c r="J685">
        <v>33</v>
      </c>
      <c r="K685" t="s">
        <v>2636</v>
      </c>
    </row>
    <row r="686" spans="1:11">
      <c r="A686" t="s">
        <v>2631</v>
      </c>
      <c r="B686" t="s">
        <v>1225</v>
      </c>
      <c r="C686" t="s">
        <v>2588</v>
      </c>
      <c r="D686" s="1">
        <v>46203</v>
      </c>
      <c r="E686" s="1">
        <v>46233</v>
      </c>
      <c r="F686">
        <v>161677.92000000001</v>
      </c>
      <c r="G686" t="s">
        <v>2562</v>
      </c>
      <c r="H686">
        <v>161677.92000000001</v>
      </c>
      <c r="I686">
        <v>0</v>
      </c>
      <c r="J686">
        <v>32</v>
      </c>
      <c r="K686" t="s">
        <v>2558</v>
      </c>
    </row>
    <row r="687" spans="1:11">
      <c r="A687" t="s">
        <v>2655</v>
      </c>
      <c r="B687" t="s">
        <v>1227</v>
      </c>
      <c r="C687" t="s">
        <v>2585</v>
      </c>
      <c r="D687" s="1">
        <v>46207</v>
      </c>
      <c r="E687" s="1">
        <v>46237</v>
      </c>
      <c r="F687">
        <v>563792.88</v>
      </c>
      <c r="G687" t="s">
        <v>2562</v>
      </c>
      <c r="H687">
        <v>563792.88</v>
      </c>
      <c r="I687">
        <v>0</v>
      </c>
      <c r="J687">
        <v>28</v>
      </c>
      <c r="K687" t="s">
        <v>2558</v>
      </c>
    </row>
    <row r="688" spans="1:11">
      <c r="A688" t="s">
        <v>2614</v>
      </c>
      <c r="B688" t="s">
        <v>1456</v>
      </c>
      <c r="C688" t="s">
        <v>2589</v>
      </c>
      <c r="D688" s="1">
        <v>46172</v>
      </c>
      <c r="E688" s="1">
        <v>46202</v>
      </c>
      <c r="F688">
        <v>9312.52</v>
      </c>
      <c r="G688" t="s">
        <v>2568</v>
      </c>
      <c r="H688">
        <v>9312.52</v>
      </c>
      <c r="I688">
        <v>0</v>
      </c>
      <c r="J688">
        <v>63</v>
      </c>
      <c r="K688" t="s">
        <v>2558</v>
      </c>
    </row>
    <row r="689" spans="1:11">
      <c r="A689" t="s">
        <v>2631</v>
      </c>
      <c r="B689" t="s">
        <v>1231</v>
      </c>
      <c r="C689" t="s">
        <v>2578</v>
      </c>
      <c r="D689" s="1">
        <v>46191</v>
      </c>
      <c r="E689" s="1">
        <v>46206</v>
      </c>
      <c r="F689">
        <v>41413.71</v>
      </c>
      <c r="G689" t="s">
        <v>2562</v>
      </c>
      <c r="H689">
        <v>41413.71</v>
      </c>
      <c r="I689">
        <v>0</v>
      </c>
      <c r="J689">
        <v>59</v>
      </c>
      <c r="K689" t="s">
        <v>2558</v>
      </c>
    </row>
    <row r="690" spans="1:11">
      <c r="A690" t="s">
        <v>2631</v>
      </c>
      <c r="B690" t="s">
        <v>1233</v>
      </c>
      <c r="C690" t="s">
        <v>2573</v>
      </c>
      <c r="D690" s="1">
        <v>46196</v>
      </c>
      <c r="E690" s="1">
        <v>46226</v>
      </c>
      <c r="F690">
        <v>44597.42</v>
      </c>
      <c r="G690" t="s">
        <v>2574</v>
      </c>
      <c r="H690">
        <v>44597.42</v>
      </c>
      <c r="I690">
        <v>0</v>
      </c>
      <c r="J690">
        <v>39</v>
      </c>
      <c r="K690" t="s">
        <v>2558</v>
      </c>
    </row>
    <row r="691" spans="1:11">
      <c r="A691" t="s">
        <v>2631</v>
      </c>
      <c r="B691" t="s">
        <v>1235</v>
      </c>
      <c r="C691" t="s">
        <v>2594</v>
      </c>
      <c r="D691" s="1">
        <v>46197</v>
      </c>
      <c r="E691" s="1">
        <v>46227</v>
      </c>
      <c r="F691">
        <v>46881.75</v>
      </c>
      <c r="G691" t="s">
        <v>2557</v>
      </c>
      <c r="H691">
        <v>36315.4</v>
      </c>
      <c r="I691">
        <v>10566.35</v>
      </c>
      <c r="J691">
        <v>38</v>
      </c>
      <c r="K691" t="s">
        <v>2636</v>
      </c>
    </row>
    <row r="692" spans="1:11">
      <c r="A692" t="s">
        <v>2614</v>
      </c>
      <c r="B692" t="s">
        <v>1563</v>
      </c>
      <c r="C692" t="s">
        <v>2570</v>
      </c>
      <c r="D692" s="1">
        <v>46172</v>
      </c>
      <c r="E692" s="1">
        <v>46202</v>
      </c>
      <c r="F692">
        <v>84530.51</v>
      </c>
      <c r="G692" t="s">
        <v>2557</v>
      </c>
      <c r="H692">
        <v>84530.51</v>
      </c>
      <c r="I692">
        <v>0</v>
      </c>
      <c r="J692">
        <v>63</v>
      </c>
      <c r="K692" t="s">
        <v>2558</v>
      </c>
    </row>
    <row r="693" spans="1:11">
      <c r="A693" t="s">
        <v>2631</v>
      </c>
      <c r="B693" t="s">
        <v>1237</v>
      </c>
      <c r="C693" t="s">
        <v>2588</v>
      </c>
      <c r="D693" s="1">
        <v>46199</v>
      </c>
      <c r="E693" s="1">
        <v>46229</v>
      </c>
      <c r="F693">
        <v>350536.77</v>
      </c>
      <c r="G693" t="s">
        <v>2562</v>
      </c>
      <c r="H693">
        <v>350536.77</v>
      </c>
      <c r="I693">
        <v>0</v>
      </c>
      <c r="J693">
        <v>36</v>
      </c>
      <c r="K693" t="s">
        <v>2558</v>
      </c>
    </row>
    <row r="694" spans="1:11">
      <c r="A694" t="s">
        <v>2631</v>
      </c>
      <c r="B694" t="s">
        <v>1239</v>
      </c>
      <c r="C694" t="s">
        <v>2602</v>
      </c>
      <c r="D694" s="1">
        <v>46177</v>
      </c>
      <c r="E694" s="1">
        <v>46237</v>
      </c>
      <c r="F694">
        <v>125031.45</v>
      </c>
      <c r="G694" t="s">
        <v>2562</v>
      </c>
      <c r="H694">
        <v>53854.229999999996</v>
      </c>
      <c r="I694">
        <v>71177.22</v>
      </c>
      <c r="J694">
        <v>28</v>
      </c>
      <c r="K694" t="s">
        <v>2647</v>
      </c>
    </row>
    <row r="695" spans="1:11">
      <c r="A695" t="s">
        <v>2614</v>
      </c>
      <c r="B695" t="s">
        <v>1695</v>
      </c>
      <c r="C695" t="s">
        <v>2589</v>
      </c>
      <c r="D695" s="1">
        <v>46172</v>
      </c>
      <c r="E695" s="1">
        <v>46202</v>
      </c>
      <c r="F695">
        <v>33227.53</v>
      </c>
      <c r="G695" t="s">
        <v>2568</v>
      </c>
      <c r="H695">
        <v>33227.53</v>
      </c>
      <c r="I695">
        <v>0</v>
      </c>
      <c r="J695">
        <v>63</v>
      </c>
      <c r="K695" t="s">
        <v>2558</v>
      </c>
    </row>
    <row r="696" spans="1:11">
      <c r="A696" t="s">
        <v>2631</v>
      </c>
      <c r="B696" t="s">
        <v>1241</v>
      </c>
      <c r="C696" t="s">
        <v>2588</v>
      </c>
      <c r="D696" s="1">
        <v>46200</v>
      </c>
      <c r="E696" s="1">
        <v>46230</v>
      </c>
      <c r="F696">
        <v>102689.61</v>
      </c>
      <c r="G696" t="s">
        <v>2562</v>
      </c>
      <c r="H696">
        <v>102689.61</v>
      </c>
      <c r="I696">
        <v>0</v>
      </c>
      <c r="J696">
        <v>35</v>
      </c>
      <c r="K696" t="s">
        <v>2558</v>
      </c>
    </row>
    <row r="697" spans="1:11">
      <c r="A697" t="s">
        <v>2631</v>
      </c>
      <c r="B697" t="s">
        <v>1243</v>
      </c>
      <c r="C697" t="s">
        <v>2579</v>
      </c>
      <c r="D697" s="1">
        <v>46203</v>
      </c>
      <c r="E697" s="1">
        <v>46233</v>
      </c>
      <c r="F697">
        <v>643181.57999999996</v>
      </c>
      <c r="G697" t="s">
        <v>2557</v>
      </c>
      <c r="H697">
        <v>643181.57999999996</v>
      </c>
      <c r="I697">
        <v>0</v>
      </c>
      <c r="J697">
        <v>32</v>
      </c>
      <c r="K697" t="s">
        <v>2558</v>
      </c>
    </row>
    <row r="698" spans="1:11">
      <c r="A698" t="s">
        <v>2614</v>
      </c>
      <c r="B698" t="s">
        <v>1344</v>
      </c>
      <c r="C698" t="s">
        <v>2564</v>
      </c>
      <c r="D698" s="1">
        <v>46172</v>
      </c>
      <c r="E698" s="1">
        <v>46232</v>
      </c>
      <c r="F698">
        <v>141941.98000000001</v>
      </c>
      <c r="G698" t="s">
        <v>2562</v>
      </c>
      <c r="H698">
        <v>141941.98000000001</v>
      </c>
      <c r="I698">
        <v>0</v>
      </c>
      <c r="J698">
        <v>33</v>
      </c>
      <c r="K698" t="s">
        <v>2558</v>
      </c>
    </row>
    <row r="699" spans="1:11">
      <c r="A699" t="s">
        <v>2631</v>
      </c>
      <c r="B699" t="s">
        <v>1246</v>
      </c>
      <c r="C699" t="s">
        <v>2581</v>
      </c>
      <c r="D699" s="1">
        <v>46187</v>
      </c>
      <c r="E699" s="1">
        <v>46202</v>
      </c>
      <c r="F699">
        <v>58317.97</v>
      </c>
      <c r="G699" t="s">
        <v>2562</v>
      </c>
      <c r="H699">
        <v>58317.97</v>
      </c>
      <c r="I699">
        <v>0</v>
      </c>
      <c r="J699">
        <v>63</v>
      </c>
      <c r="K699" t="s">
        <v>2558</v>
      </c>
    </row>
    <row r="700" spans="1:11">
      <c r="A700" t="s">
        <v>2631</v>
      </c>
      <c r="B700" t="s">
        <v>1248</v>
      </c>
      <c r="C700" t="s">
        <v>2564</v>
      </c>
      <c r="D700" s="1">
        <v>46191</v>
      </c>
      <c r="E700" s="1">
        <v>46251</v>
      </c>
      <c r="F700">
        <v>191157.43</v>
      </c>
      <c r="G700" t="s">
        <v>2562</v>
      </c>
      <c r="H700">
        <v>191157.43</v>
      </c>
      <c r="I700">
        <v>0</v>
      </c>
      <c r="J700">
        <v>14</v>
      </c>
      <c r="K700" t="s">
        <v>2558</v>
      </c>
    </row>
    <row r="701" spans="1:11">
      <c r="A701" t="s">
        <v>2614</v>
      </c>
      <c r="B701" t="s">
        <v>1936</v>
      </c>
      <c r="C701" t="s">
        <v>2640</v>
      </c>
      <c r="D701" s="1">
        <v>46172</v>
      </c>
      <c r="E701" s="1">
        <v>46232</v>
      </c>
      <c r="F701">
        <v>14576.91</v>
      </c>
      <c r="G701" t="s">
        <v>2560</v>
      </c>
      <c r="H701">
        <v>14576.91</v>
      </c>
      <c r="I701">
        <v>0</v>
      </c>
      <c r="J701">
        <v>33</v>
      </c>
      <c r="K701" t="s">
        <v>2558</v>
      </c>
    </row>
    <row r="702" spans="1:11">
      <c r="A702" t="s">
        <v>2655</v>
      </c>
      <c r="B702" t="s">
        <v>1252</v>
      </c>
      <c r="C702" t="s">
        <v>2582</v>
      </c>
      <c r="D702" s="1">
        <v>46213</v>
      </c>
      <c r="E702" s="1">
        <v>46243</v>
      </c>
      <c r="F702">
        <v>235428.82</v>
      </c>
      <c r="G702" t="s">
        <v>2557</v>
      </c>
      <c r="H702">
        <v>235428.82</v>
      </c>
      <c r="I702">
        <v>0</v>
      </c>
      <c r="J702">
        <v>22</v>
      </c>
      <c r="K702" t="s">
        <v>2558</v>
      </c>
    </row>
    <row r="703" spans="1:11">
      <c r="A703" t="s">
        <v>2614</v>
      </c>
      <c r="B703" t="s">
        <v>1256</v>
      </c>
      <c r="C703" t="s">
        <v>2595</v>
      </c>
      <c r="D703" s="1">
        <v>46173</v>
      </c>
      <c r="E703" s="1">
        <v>46203</v>
      </c>
      <c r="F703">
        <v>90825.06</v>
      </c>
      <c r="G703" t="s">
        <v>2568</v>
      </c>
      <c r="H703">
        <v>90825.06</v>
      </c>
      <c r="I703">
        <v>0</v>
      </c>
      <c r="J703">
        <v>62</v>
      </c>
      <c r="K703" t="s">
        <v>2558</v>
      </c>
    </row>
    <row r="704" spans="1:11">
      <c r="A704" t="s">
        <v>2631</v>
      </c>
      <c r="B704" t="s">
        <v>1258</v>
      </c>
      <c r="C704" t="s">
        <v>2604</v>
      </c>
      <c r="D704" s="1">
        <v>46177</v>
      </c>
      <c r="E704" s="1">
        <v>46222</v>
      </c>
      <c r="F704">
        <v>60119.16</v>
      </c>
      <c r="G704" t="s">
        <v>2562</v>
      </c>
      <c r="H704">
        <v>60119.16</v>
      </c>
      <c r="I704">
        <v>0</v>
      </c>
      <c r="J704">
        <v>43</v>
      </c>
      <c r="K704" t="s">
        <v>2558</v>
      </c>
    </row>
    <row r="705" spans="1:11">
      <c r="A705" t="s">
        <v>2614</v>
      </c>
      <c r="B705" t="s">
        <v>1659</v>
      </c>
      <c r="C705" t="s">
        <v>2585</v>
      </c>
      <c r="D705" s="1">
        <v>46173</v>
      </c>
      <c r="E705" s="1">
        <v>46203</v>
      </c>
      <c r="F705">
        <v>480352.52</v>
      </c>
      <c r="G705" t="s">
        <v>2562</v>
      </c>
      <c r="H705">
        <v>480352.52</v>
      </c>
      <c r="I705">
        <v>0</v>
      </c>
      <c r="J705">
        <v>62</v>
      </c>
      <c r="K705" t="s">
        <v>2558</v>
      </c>
    </row>
    <row r="706" spans="1:11">
      <c r="A706" t="s">
        <v>2631</v>
      </c>
      <c r="B706" t="s">
        <v>1260</v>
      </c>
      <c r="C706" t="s">
        <v>2561</v>
      </c>
      <c r="D706" s="1">
        <v>46191</v>
      </c>
      <c r="E706" s="1">
        <v>46236</v>
      </c>
      <c r="F706">
        <v>394460.36</v>
      </c>
      <c r="G706" t="s">
        <v>2562</v>
      </c>
      <c r="H706">
        <v>394460.36</v>
      </c>
      <c r="I706">
        <v>0</v>
      </c>
      <c r="J706">
        <v>29</v>
      </c>
      <c r="K706" t="s">
        <v>2558</v>
      </c>
    </row>
    <row r="707" spans="1:11">
      <c r="A707" t="s">
        <v>2614</v>
      </c>
      <c r="B707" t="s">
        <v>2191</v>
      </c>
      <c r="C707" t="s">
        <v>2608</v>
      </c>
      <c r="D707" s="1">
        <v>46173</v>
      </c>
      <c r="E707" s="1">
        <v>46218</v>
      </c>
      <c r="F707">
        <v>392289.27</v>
      </c>
      <c r="G707" t="s">
        <v>2560</v>
      </c>
      <c r="H707">
        <v>392289.27</v>
      </c>
      <c r="I707">
        <v>0</v>
      </c>
      <c r="J707">
        <v>47</v>
      </c>
      <c r="K707" t="s">
        <v>2558</v>
      </c>
    </row>
    <row r="708" spans="1:11">
      <c r="A708" t="s">
        <v>2631</v>
      </c>
      <c r="B708" t="s">
        <v>1262</v>
      </c>
      <c r="C708" t="s">
        <v>2608</v>
      </c>
      <c r="D708" s="1">
        <v>46200</v>
      </c>
      <c r="E708" s="1">
        <v>46245</v>
      </c>
      <c r="F708">
        <v>97837.62</v>
      </c>
      <c r="G708" t="s">
        <v>2560</v>
      </c>
      <c r="H708">
        <v>46738.239999999998</v>
      </c>
      <c r="I708">
        <v>51099.38</v>
      </c>
      <c r="J708">
        <v>20</v>
      </c>
      <c r="K708" t="s">
        <v>2647</v>
      </c>
    </row>
    <row r="709" spans="1:11">
      <c r="A709" t="s">
        <v>2614</v>
      </c>
      <c r="B709" t="s">
        <v>1938</v>
      </c>
      <c r="C709" t="s">
        <v>2604</v>
      </c>
      <c r="D709" s="1">
        <v>46173</v>
      </c>
      <c r="E709" s="1">
        <v>46218</v>
      </c>
      <c r="F709">
        <v>236280.72</v>
      </c>
      <c r="G709" t="s">
        <v>2562</v>
      </c>
      <c r="H709">
        <v>74265.84</v>
      </c>
      <c r="I709">
        <v>162014.88</v>
      </c>
      <c r="J709">
        <v>47</v>
      </c>
      <c r="K709" t="s">
        <v>2636</v>
      </c>
    </row>
    <row r="710" spans="1:11">
      <c r="A710" t="s">
        <v>2655</v>
      </c>
      <c r="B710" t="s">
        <v>1264</v>
      </c>
      <c r="C710" t="s">
        <v>2573</v>
      </c>
      <c r="D710" s="1">
        <v>46204</v>
      </c>
      <c r="E710" s="1">
        <v>46234</v>
      </c>
      <c r="F710">
        <v>8882.42</v>
      </c>
      <c r="G710" t="s">
        <v>2574</v>
      </c>
      <c r="H710">
        <v>8882.42</v>
      </c>
      <c r="I710">
        <v>0</v>
      </c>
      <c r="J710">
        <v>31</v>
      </c>
      <c r="K710" t="s">
        <v>2558</v>
      </c>
    </row>
    <row r="711" spans="1:11">
      <c r="A711" t="s">
        <v>2614</v>
      </c>
      <c r="B711" t="s">
        <v>2115</v>
      </c>
      <c r="C711" t="s">
        <v>2590</v>
      </c>
      <c r="D711" s="1">
        <v>46173</v>
      </c>
      <c r="E711" s="1">
        <v>46203</v>
      </c>
      <c r="F711">
        <v>5000</v>
      </c>
      <c r="G711" t="s">
        <v>2562</v>
      </c>
      <c r="H711">
        <v>5000</v>
      </c>
      <c r="I711">
        <v>0</v>
      </c>
      <c r="J711">
        <v>62</v>
      </c>
      <c r="K711" t="s">
        <v>2558</v>
      </c>
    </row>
    <row r="712" spans="1:11">
      <c r="A712" t="s">
        <v>2655</v>
      </c>
      <c r="B712" t="s">
        <v>1266</v>
      </c>
      <c r="C712" t="s">
        <v>2585</v>
      </c>
      <c r="D712" s="1">
        <v>46211</v>
      </c>
      <c r="E712" s="1">
        <v>46241</v>
      </c>
      <c r="F712">
        <v>183659.5</v>
      </c>
      <c r="G712" t="s">
        <v>2562</v>
      </c>
      <c r="H712">
        <v>183659.5</v>
      </c>
      <c r="I712">
        <v>0</v>
      </c>
      <c r="J712">
        <v>24</v>
      </c>
      <c r="K712" t="s">
        <v>2558</v>
      </c>
    </row>
    <row r="713" spans="1:11">
      <c r="A713" t="s">
        <v>2655</v>
      </c>
      <c r="B713" t="s">
        <v>1268</v>
      </c>
      <c r="C713" t="s">
        <v>2580</v>
      </c>
      <c r="D713" s="1">
        <v>46221</v>
      </c>
      <c r="E713" s="1">
        <v>46236</v>
      </c>
      <c r="F713">
        <v>47357.48</v>
      </c>
      <c r="G713" t="s">
        <v>2557</v>
      </c>
      <c r="H713">
        <v>47357.48</v>
      </c>
      <c r="I713">
        <v>0</v>
      </c>
      <c r="J713">
        <v>29</v>
      </c>
      <c r="K713" t="s">
        <v>2558</v>
      </c>
    </row>
    <row r="714" spans="1:11">
      <c r="A714" t="s">
        <v>2614</v>
      </c>
      <c r="B714" t="s">
        <v>1697</v>
      </c>
      <c r="C714" t="s">
        <v>2567</v>
      </c>
      <c r="D714" s="1">
        <v>46173</v>
      </c>
      <c r="E714" s="1">
        <v>46218</v>
      </c>
      <c r="F714">
        <v>433315.51</v>
      </c>
      <c r="G714" t="s">
        <v>2568</v>
      </c>
      <c r="H714">
        <v>433315.51</v>
      </c>
      <c r="I714">
        <v>0</v>
      </c>
      <c r="J714">
        <v>47</v>
      </c>
      <c r="K714" t="s">
        <v>2558</v>
      </c>
    </row>
    <row r="715" spans="1:11">
      <c r="A715" t="s">
        <v>2631</v>
      </c>
      <c r="B715" t="s">
        <v>1270</v>
      </c>
      <c r="C715" t="s">
        <v>2571</v>
      </c>
      <c r="D715" s="1">
        <v>46185</v>
      </c>
      <c r="E715" s="1">
        <v>46230</v>
      </c>
      <c r="F715">
        <v>328521.34999999998</v>
      </c>
      <c r="G715" t="s">
        <v>2568</v>
      </c>
      <c r="H715">
        <v>328521.34999999998</v>
      </c>
      <c r="I715">
        <v>0</v>
      </c>
      <c r="J715">
        <v>35</v>
      </c>
      <c r="K715" t="s">
        <v>2558</v>
      </c>
    </row>
    <row r="716" spans="1:11">
      <c r="A716" t="s">
        <v>2614</v>
      </c>
      <c r="B716" t="s">
        <v>2296</v>
      </c>
      <c r="C716" t="s">
        <v>2569</v>
      </c>
      <c r="D716" s="1">
        <v>46173</v>
      </c>
      <c r="E716" s="1">
        <v>46188</v>
      </c>
      <c r="F716">
        <v>29081.93</v>
      </c>
      <c r="G716" t="s">
        <v>2557</v>
      </c>
      <c r="H716">
        <v>29081.93</v>
      </c>
      <c r="I716">
        <v>0</v>
      </c>
      <c r="J716">
        <v>77</v>
      </c>
      <c r="K716" t="s">
        <v>2558</v>
      </c>
    </row>
    <row r="717" spans="1:11">
      <c r="A717" t="s">
        <v>2631</v>
      </c>
      <c r="B717" t="s">
        <v>1273</v>
      </c>
      <c r="C717" t="s">
        <v>2585</v>
      </c>
      <c r="D717" s="1">
        <v>46196</v>
      </c>
      <c r="E717" s="1">
        <v>46226</v>
      </c>
      <c r="F717">
        <v>65907.8</v>
      </c>
      <c r="G717" t="s">
        <v>2562</v>
      </c>
      <c r="H717">
        <v>65907.8</v>
      </c>
      <c r="I717">
        <v>0</v>
      </c>
      <c r="J717">
        <v>39</v>
      </c>
      <c r="K717" t="s">
        <v>2558</v>
      </c>
    </row>
    <row r="718" spans="1:11">
      <c r="A718" t="s">
        <v>2614</v>
      </c>
      <c r="B718" t="s">
        <v>1976</v>
      </c>
      <c r="C718" t="s">
        <v>2572</v>
      </c>
      <c r="D718" s="1">
        <v>46173</v>
      </c>
      <c r="E718" s="1">
        <v>46188</v>
      </c>
      <c r="F718">
        <v>55096.06</v>
      </c>
      <c r="G718" t="s">
        <v>2557</v>
      </c>
      <c r="H718">
        <v>55096.06</v>
      </c>
      <c r="I718">
        <v>0</v>
      </c>
      <c r="J718">
        <v>77</v>
      </c>
      <c r="K718" t="s">
        <v>2558</v>
      </c>
    </row>
    <row r="719" spans="1:11">
      <c r="A719" t="s">
        <v>2655</v>
      </c>
      <c r="B719" t="s">
        <v>1275</v>
      </c>
      <c r="C719" t="s">
        <v>2595</v>
      </c>
      <c r="D719" s="1">
        <v>46207</v>
      </c>
      <c r="E719" s="1">
        <v>46237</v>
      </c>
      <c r="F719">
        <v>120565.18</v>
      </c>
      <c r="G719" t="s">
        <v>2568</v>
      </c>
      <c r="H719">
        <v>21906.62</v>
      </c>
      <c r="I719">
        <v>98658.559999999998</v>
      </c>
      <c r="J719">
        <v>28</v>
      </c>
      <c r="K719" t="s">
        <v>2647</v>
      </c>
    </row>
    <row r="720" spans="1:11">
      <c r="A720" t="s">
        <v>2655</v>
      </c>
      <c r="B720" t="s">
        <v>1277</v>
      </c>
      <c r="C720" t="s">
        <v>2575</v>
      </c>
      <c r="D720" s="1">
        <v>46213</v>
      </c>
      <c r="E720" s="1">
        <v>46228</v>
      </c>
      <c r="F720">
        <v>141270.09</v>
      </c>
      <c r="G720" t="s">
        <v>2574</v>
      </c>
      <c r="H720">
        <v>177239.15</v>
      </c>
      <c r="I720">
        <v>-35969.06</v>
      </c>
      <c r="J720">
        <v>37</v>
      </c>
      <c r="K720" t="s">
        <v>2558</v>
      </c>
    </row>
    <row r="721" spans="1:11">
      <c r="A721" t="s">
        <v>2614</v>
      </c>
      <c r="B721" t="s">
        <v>2458</v>
      </c>
      <c r="C721" t="s">
        <v>2567</v>
      </c>
      <c r="D721" s="1">
        <v>46173</v>
      </c>
      <c r="E721" s="1">
        <v>46218</v>
      </c>
      <c r="F721">
        <v>677358.32</v>
      </c>
      <c r="G721" t="s">
        <v>2568</v>
      </c>
      <c r="H721">
        <v>677358.32</v>
      </c>
      <c r="I721">
        <v>0</v>
      </c>
      <c r="J721">
        <v>47</v>
      </c>
      <c r="K721" t="s">
        <v>2558</v>
      </c>
    </row>
    <row r="722" spans="1:11">
      <c r="A722" t="s">
        <v>2655</v>
      </c>
      <c r="B722" t="s">
        <v>1279</v>
      </c>
      <c r="C722" t="s">
        <v>2579</v>
      </c>
      <c r="D722" s="1">
        <v>46222</v>
      </c>
      <c r="E722" s="1">
        <v>46252</v>
      </c>
      <c r="F722">
        <v>1422617.12</v>
      </c>
      <c r="G722" t="s">
        <v>2557</v>
      </c>
      <c r="H722">
        <v>382149.72</v>
      </c>
      <c r="I722">
        <v>1040467.4</v>
      </c>
      <c r="J722">
        <v>13</v>
      </c>
      <c r="K722" t="s">
        <v>2647</v>
      </c>
    </row>
    <row r="723" spans="1:11">
      <c r="A723" t="s">
        <v>2614</v>
      </c>
      <c r="B723" t="s">
        <v>2659</v>
      </c>
      <c r="C723" t="s">
        <v>2561</v>
      </c>
      <c r="D723" s="1">
        <v>46173</v>
      </c>
      <c r="E723" s="1">
        <v>46218</v>
      </c>
      <c r="F723">
        <v>310011.71000000002</v>
      </c>
      <c r="G723" t="s">
        <v>2562</v>
      </c>
      <c r="I723">
        <v>310011.71000000002</v>
      </c>
      <c r="J723">
        <v>47</v>
      </c>
      <c r="K723" t="s">
        <v>2636</v>
      </c>
    </row>
    <row r="724" spans="1:11">
      <c r="A724" t="s">
        <v>2655</v>
      </c>
      <c r="B724" t="s">
        <v>1283</v>
      </c>
      <c r="C724" t="s">
        <v>2603</v>
      </c>
      <c r="D724" s="1">
        <v>46206</v>
      </c>
      <c r="E724" s="1">
        <v>46236</v>
      </c>
      <c r="F724">
        <v>50013.440000000002</v>
      </c>
      <c r="G724" t="s">
        <v>2557</v>
      </c>
      <c r="H724">
        <v>50013.440000000002</v>
      </c>
      <c r="I724">
        <v>0</v>
      </c>
      <c r="J724">
        <v>29</v>
      </c>
      <c r="K724" t="s">
        <v>2558</v>
      </c>
    </row>
    <row r="725" spans="1:11">
      <c r="A725" t="s">
        <v>2655</v>
      </c>
      <c r="B725" t="s">
        <v>1285</v>
      </c>
      <c r="C725" t="s">
        <v>2561</v>
      </c>
      <c r="D725" s="1">
        <v>46211</v>
      </c>
      <c r="E725" s="1">
        <v>46256</v>
      </c>
      <c r="F725">
        <v>123279.52</v>
      </c>
      <c r="G725" t="s">
        <v>2562</v>
      </c>
      <c r="H725">
        <v>47991.38</v>
      </c>
      <c r="I725">
        <v>75288.14</v>
      </c>
      <c r="J725">
        <v>9</v>
      </c>
      <c r="K725" t="s">
        <v>2647</v>
      </c>
    </row>
    <row r="726" spans="1:11">
      <c r="A726" t="s">
        <v>2614</v>
      </c>
      <c r="B726" t="s">
        <v>1815</v>
      </c>
      <c r="C726" t="s">
        <v>2585</v>
      </c>
      <c r="D726" s="1">
        <v>46173</v>
      </c>
      <c r="E726" s="1">
        <v>46203</v>
      </c>
      <c r="F726">
        <v>564376.17000000004</v>
      </c>
      <c r="G726" t="s">
        <v>2562</v>
      </c>
      <c r="H726">
        <v>564376.17000000004</v>
      </c>
      <c r="I726">
        <v>0</v>
      </c>
      <c r="J726">
        <v>62</v>
      </c>
      <c r="K726" t="s">
        <v>2558</v>
      </c>
    </row>
    <row r="727" spans="1:11">
      <c r="A727" t="s">
        <v>2655</v>
      </c>
      <c r="B727" t="s">
        <v>1287</v>
      </c>
      <c r="C727" t="s">
        <v>2575</v>
      </c>
      <c r="D727" s="1">
        <v>46215</v>
      </c>
      <c r="E727" s="1">
        <v>46230</v>
      </c>
      <c r="F727">
        <v>32707.279999999999</v>
      </c>
      <c r="G727" t="s">
        <v>2574</v>
      </c>
      <c r="H727">
        <v>32707.279999999999</v>
      </c>
      <c r="I727">
        <v>0</v>
      </c>
      <c r="J727">
        <v>35</v>
      </c>
      <c r="K727" t="s">
        <v>2558</v>
      </c>
    </row>
    <row r="728" spans="1:11">
      <c r="A728" t="s">
        <v>2655</v>
      </c>
      <c r="B728" t="s">
        <v>1290</v>
      </c>
      <c r="C728" t="s">
        <v>2607</v>
      </c>
      <c r="D728" s="1">
        <v>46211</v>
      </c>
      <c r="E728" s="1">
        <v>46241</v>
      </c>
      <c r="F728">
        <v>211898.61</v>
      </c>
      <c r="G728" t="s">
        <v>2562</v>
      </c>
      <c r="H728">
        <v>211898.61</v>
      </c>
      <c r="I728">
        <v>0</v>
      </c>
      <c r="J728">
        <v>24</v>
      </c>
      <c r="K728" t="s">
        <v>2558</v>
      </c>
    </row>
    <row r="729" spans="1:11">
      <c r="A729" t="s">
        <v>2631</v>
      </c>
      <c r="B729" t="s">
        <v>2660</v>
      </c>
      <c r="C729" t="s">
        <v>2582</v>
      </c>
      <c r="D729" s="1">
        <v>46174</v>
      </c>
      <c r="E729" s="1">
        <v>46204</v>
      </c>
      <c r="F729">
        <v>269064.2</v>
      </c>
      <c r="G729" t="s">
        <v>2557</v>
      </c>
      <c r="I729">
        <v>269064.2</v>
      </c>
      <c r="J729">
        <v>61</v>
      </c>
      <c r="K729" t="s">
        <v>2609</v>
      </c>
    </row>
    <row r="730" spans="1:11">
      <c r="A730" t="s">
        <v>2631</v>
      </c>
      <c r="B730" t="s">
        <v>1294</v>
      </c>
      <c r="C730" t="s">
        <v>2603</v>
      </c>
      <c r="D730" s="1">
        <v>46200</v>
      </c>
      <c r="E730" s="1">
        <v>46230</v>
      </c>
      <c r="F730">
        <v>33729.25</v>
      </c>
      <c r="G730" t="s">
        <v>2557</v>
      </c>
      <c r="H730">
        <v>33729.25</v>
      </c>
      <c r="I730">
        <v>0</v>
      </c>
      <c r="J730">
        <v>35</v>
      </c>
      <c r="K730" t="s">
        <v>2558</v>
      </c>
    </row>
    <row r="731" spans="1:11">
      <c r="A731" t="s">
        <v>2655</v>
      </c>
      <c r="B731" t="s">
        <v>1296</v>
      </c>
      <c r="C731" t="s">
        <v>2559</v>
      </c>
      <c r="D731" s="1">
        <v>46217</v>
      </c>
      <c r="E731" s="1">
        <v>46232</v>
      </c>
      <c r="F731">
        <v>49327.71</v>
      </c>
      <c r="G731" t="s">
        <v>2560</v>
      </c>
      <c r="H731">
        <v>49327.71</v>
      </c>
      <c r="I731">
        <v>0</v>
      </c>
      <c r="J731">
        <v>33</v>
      </c>
      <c r="K731" t="s">
        <v>2558</v>
      </c>
    </row>
    <row r="732" spans="1:11">
      <c r="A732" t="s">
        <v>2631</v>
      </c>
      <c r="B732" t="s">
        <v>1978</v>
      </c>
      <c r="C732" t="s">
        <v>2569</v>
      </c>
      <c r="D732" s="1">
        <v>46174</v>
      </c>
      <c r="E732" s="1">
        <v>46189</v>
      </c>
      <c r="F732">
        <v>27201.06</v>
      </c>
      <c r="G732" t="s">
        <v>2557</v>
      </c>
      <c r="H732">
        <v>27201.06</v>
      </c>
      <c r="I732">
        <v>0</v>
      </c>
      <c r="J732">
        <v>76</v>
      </c>
      <c r="K732" t="s">
        <v>2558</v>
      </c>
    </row>
    <row r="733" spans="1:11">
      <c r="A733" t="s">
        <v>2631</v>
      </c>
      <c r="B733" t="s">
        <v>1302</v>
      </c>
      <c r="C733" t="s">
        <v>2576</v>
      </c>
      <c r="D733" s="1">
        <v>46192</v>
      </c>
      <c r="E733" s="1">
        <v>46237</v>
      </c>
      <c r="F733">
        <v>98417.84</v>
      </c>
      <c r="G733" t="s">
        <v>2566</v>
      </c>
      <c r="H733">
        <v>98417.84</v>
      </c>
      <c r="I733">
        <v>0</v>
      </c>
      <c r="J733">
        <v>28</v>
      </c>
      <c r="K733" t="s">
        <v>2558</v>
      </c>
    </row>
    <row r="734" spans="1:11">
      <c r="A734" t="s">
        <v>2631</v>
      </c>
      <c r="B734" t="s">
        <v>1588</v>
      </c>
      <c r="C734" t="s">
        <v>2604</v>
      </c>
      <c r="D734" s="1">
        <v>46174</v>
      </c>
      <c r="E734" s="1">
        <v>46219</v>
      </c>
      <c r="F734">
        <v>21469.73</v>
      </c>
      <c r="G734" t="s">
        <v>2562</v>
      </c>
      <c r="H734">
        <v>21469.73</v>
      </c>
      <c r="I734">
        <v>0</v>
      </c>
      <c r="J734">
        <v>46</v>
      </c>
      <c r="K734" t="s">
        <v>2558</v>
      </c>
    </row>
    <row r="735" spans="1:11">
      <c r="A735" t="s">
        <v>2631</v>
      </c>
      <c r="B735" t="s">
        <v>1304</v>
      </c>
      <c r="C735" t="s">
        <v>2611</v>
      </c>
      <c r="D735" s="1">
        <v>46202</v>
      </c>
      <c r="E735" s="1">
        <v>46247</v>
      </c>
      <c r="F735">
        <v>1053387.24</v>
      </c>
      <c r="G735" t="s">
        <v>2566</v>
      </c>
      <c r="H735">
        <v>1053387.24</v>
      </c>
      <c r="I735">
        <v>0</v>
      </c>
      <c r="J735">
        <v>18</v>
      </c>
      <c r="K735" t="s">
        <v>2558</v>
      </c>
    </row>
    <row r="736" spans="1:11">
      <c r="A736" t="s">
        <v>2631</v>
      </c>
      <c r="B736" t="s">
        <v>1840</v>
      </c>
      <c r="C736" t="s">
        <v>2585</v>
      </c>
      <c r="D736" s="1">
        <v>46174</v>
      </c>
      <c r="E736" s="1">
        <v>46204</v>
      </c>
      <c r="F736">
        <v>1040526.48</v>
      </c>
      <c r="G736" t="s">
        <v>2562</v>
      </c>
      <c r="H736">
        <v>1040526.48</v>
      </c>
      <c r="I736">
        <v>0</v>
      </c>
      <c r="J736">
        <v>61</v>
      </c>
      <c r="K736" t="s">
        <v>2558</v>
      </c>
    </row>
    <row r="737" spans="1:11">
      <c r="A737" t="s">
        <v>2631</v>
      </c>
      <c r="B737" t="s">
        <v>1326</v>
      </c>
      <c r="C737" t="s">
        <v>2599</v>
      </c>
      <c r="D737" s="1">
        <v>46174</v>
      </c>
      <c r="E737" s="1">
        <v>46234</v>
      </c>
      <c r="F737">
        <v>108284.9</v>
      </c>
      <c r="G737" t="s">
        <v>2562</v>
      </c>
      <c r="H737">
        <v>30358.46</v>
      </c>
      <c r="I737">
        <v>77926.44</v>
      </c>
      <c r="J737">
        <v>31</v>
      </c>
      <c r="K737" t="s">
        <v>2636</v>
      </c>
    </row>
    <row r="738" spans="1:11">
      <c r="A738" t="s">
        <v>2655</v>
      </c>
      <c r="B738" t="s">
        <v>1310</v>
      </c>
      <c r="C738" t="s">
        <v>2615</v>
      </c>
      <c r="D738" s="1">
        <v>46217</v>
      </c>
      <c r="E738" s="1">
        <v>46232</v>
      </c>
      <c r="F738">
        <v>24379.79</v>
      </c>
      <c r="G738" t="s">
        <v>2574</v>
      </c>
      <c r="H738">
        <v>24379.79</v>
      </c>
      <c r="I738">
        <v>0</v>
      </c>
      <c r="J738">
        <v>33</v>
      </c>
      <c r="K738" t="s">
        <v>2558</v>
      </c>
    </row>
    <row r="739" spans="1:11">
      <c r="A739" t="s">
        <v>2631</v>
      </c>
      <c r="B739" t="s">
        <v>2193</v>
      </c>
      <c r="C739" t="s">
        <v>2611</v>
      </c>
      <c r="D739" s="1">
        <v>46174</v>
      </c>
      <c r="E739" s="1">
        <v>46219</v>
      </c>
      <c r="F739">
        <v>2000000</v>
      </c>
      <c r="G739" t="s">
        <v>2566</v>
      </c>
      <c r="H739">
        <v>2000000</v>
      </c>
      <c r="I739">
        <v>0</v>
      </c>
      <c r="J739">
        <v>46</v>
      </c>
      <c r="K739" t="s">
        <v>2558</v>
      </c>
    </row>
    <row r="740" spans="1:11">
      <c r="A740" t="s">
        <v>2655</v>
      </c>
      <c r="B740" t="s">
        <v>1312</v>
      </c>
      <c r="C740" t="s">
        <v>2581</v>
      </c>
      <c r="D740" s="1">
        <v>46229</v>
      </c>
      <c r="E740" s="1">
        <v>46244</v>
      </c>
      <c r="F740">
        <v>133402.98000000001</v>
      </c>
      <c r="G740" t="s">
        <v>2562</v>
      </c>
      <c r="H740">
        <v>133402.98000000001</v>
      </c>
      <c r="I740">
        <v>0</v>
      </c>
      <c r="J740">
        <v>21</v>
      </c>
      <c r="K740" t="s">
        <v>2558</v>
      </c>
    </row>
    <row r="741" spans="1:11">
      <c r="A741" t="s">
        <v>2655</v>
      </c>
      <c r="B741" t="s">
        <v>1318</v>
      </c>
      <c r="C741" t="s">
        <v>2595</v>
      </c>
      <c r="D741" s="1">
        <v>46216</v>
      </c>
      <c r="E741" s="1">
        <v>46246</v>
      </c>
      <c r="F741">
        <v>187111.43</v>
      </c>
      <c r="G741" t="s">
        <v>2568</v>
      </c>
      <c r="H741">
        <v>187111.43</v>
      </c>
      <c r="I741">
        <v>0</v>
      </c>
      <c r="J741">
        <v>19</v>
      </c>
      <c r="K741" t="s">
        <v>2558</v>
      </c>
    </row>
    <row r="742" spans="1:11">
      <c r="A742" t="s">
        <v>2655</v>
      </c>
      <c r="B742" t="s">
        <v>1320</v>
      </c>
      <c r="C742" t="s">
        <v>2570</v>
      </c>
      <c r="D742" s="1">
        <v>46219</v>
      </c>
      <c r="E742" s="1">
        <v>46249</v>
      </c>
      <c r="F742">
        <v>676459.12</v>
      </c>
      <c r="G742" t="s">
        <v>2557</v>
      </c>
      <c r="H742">
        <v>417072.69</v>
      </c>
      <c r="I742">
        <v>259386.43</v>
      </c>
      <c r="J742">
        <v>16</v>
      </c>
      <c r="K742" t="s">
        <v>2647</v>
      </c>
    </row>
    <row r="743" spans="1:11">
      <c r="A743" t="s">
        <v>2655</v>
      </c>
      <c r="B743" t="s">
        <v>1322</v>
      </c>
      <c r="C743" t="s">
        <v>2579</v>
      </c>
      <c r="D743" s="1">
        <v>46224</v>
      </c>
      <c r="E743" s="1">
        <v>46254</v>
      </c>
      <c r="F743">
        <v>122402.33</v>
      </c>
      <c r="G743" t="s">
        <v>2557</v>
      </c>
      <c r="H743">
        <v>122402.33</v>
      </c>
      <c r="I743">
        <v>0</v>
      </c>
      <c r="J743">
        <v>11</v>
      </c>
      <c r="K743" t="s">
        <v>2558</v>
      </c>
    </row>
    <row r="744" spans="1:11">
      <c r="A744" t="s">
        <v>2631</v>
      </c>
      <c r="B744" t="s">
        <v>2460</v>
      </c>
      <c r="C744" t="s">
        <v>2579</v>
      </c>
      <c r="D744" s="1">
        <v>46175</v>
      </c>
      <c r="E744" s="1">
        <v>46205</v>
      </c>
      <c r="F744">
        <v>1037429.25</v>
      </c>
      <c r="G744" t="s">
        <v>2557</v>
      </c>
      <c r="H744">
        <v>1037429.25</v>
      </c>
      <c r="I744">
        <v>0</v>
      </c>
      <c r="J744">
        <v>60</v>
      </c>
      <c r="K744" t="s">
        <v>2558</v>
      </c>
    </row>
    <row r="745" spans="1:11">
      <c r="A745" t="s">
        <v>2631</v>
      </c>
      <c r="B745" t="s">
        <v>1328</v>
      </c>
      <c r="C745" t="s">
        <v>2587</v>
      </c>
      <c r="D745" s="1">
        <v>46190</v>
      </c>
      <c r="E745" s="1">
        <v>46250</v>
      </c>
      <c r="F745">
        <v>165325.25</v>
      </c>
      <c r="G745" t="s">
        <v>2568</v>
      </c>
      <c r="H745">
        <v>165325.25</v>
      </c>
      <c r="I745">
        <v>0</v>
      </c>
      <c r="J745">
        <v>15</v>
      </c>
      <c r="K745" t="s">
        <v>2558</v>
      </c>
    </row>
    <row r="746" spans="1:11">
      <c r="A746" t="s">
        <v>2655</v>
      </c>
      <c r="B746" t="s">
        <v>1330</v>
      </c>
      <c r="C746" t="s">
        <v>2611</v>
      </c>
      <c r="D746" s="1">
        <v>46208</v>
      </c>
      <c r="E746" s="1">
        <v>46253</v>
      </c>
      <c r="F746">
        <v>119720.86</v>
      </c>
      <c r="G746" t="s">
        <v>2566</v>
      </c>
      <c r="H746">
        <v>119720.86</v>
      </c>
      <c r="I746">
        <v>0</v>
      </c>
      <c r="J746">
        <v>12</v>
      </c>
      <c r="K746" t="s">
        <v>2558</v>
      </c>
    </row>
    <row r="747" spans="1:11">
      <c r="A747" t="s">
        <v>2655</v>
      </c>
      <c r="B747" t="s">
        <v>1332</v>
      </c>
      <c r="C747" t="s">
        <v>2592</v>
      </c>
      <c r="D747" s="1">
        <v>46219</v>
      </c>
      <c r="E747" s="1">
        <v>46249</v>
      </c>
      <c r="F747">
        <v>11877.36</v>
      </c>
      <c r="G747" t="s">
        <v>2562</v>
      </c>
      <c r="H747">
        <v>11877.36</v>
      </c>
      <c r="I747">
        <v>0</v>
      </c>
      <c r="J747">
        <v>16</v>
      </c>
      <c r="K747" t="s">
        <v>2558</v>
      </c>
    </row>
    <row r="748" spans="1:11">
      <c r="A748" t="s">
        <v>2631</v>
      </c>
      <c r="B748" t="s">
        <v>2661</v>
      </c>
      <c r="C748" t="s">
        <v>2576</v>
      </c>
      <c r="D748" s="1">
        <v>46175</v>
      </c>
      <c r="E748" s="1">
        <v>46220</v>
      </c>
      <c r="F748">
        <v>1581842.08</v>
      </c>
      <c r="G748" t="s">
        <v>2566</v>
      </c>
      <c r="I748">
        <v>1581842.08</v>
      </c>
      <c r="J748">
        <v>45</v>
      </c>
      <c r="K748" t="s">
        <v>2636</v>
      </c>
    </row>
    <row r="749" spans="1:11">
      <c r="A749" t="s">
        <v>2655</v>
      </c>
      <c r="B749" t="s">
        <v>1334</v>
      </c>
      <c r="C749" t="s">
        <v>2576</v>
      </c>
      <c r="D749" s="1">
        <v>46212</v>
      </c>
      <c r="E749" s="1">
        <v>46257</v>
      </c>
      <c r="F749">
        <v>794041.67</v>
      </c>
      <c r="G749" t="s">
        <v>2566</v>
      </c>
      <c r="H749">
        <v>794041.67</v>
      </c>
      <c r="I749">
        <v>0</v>
      </c>
      <c r="J749">
        <v>8</v>
      </c>
      <c r="K749" t="s">
        <v>2558</v>
      </c>
    </row>
    <row r="750" spans="1:11">
      <c r="A750" t="s">
        <v>2631</v>
      </c>
      <c r="B750" t="s">
        <v>1940</v>
      </c>
      <c r="C750" t="s">
        <v>2561</v>
      </c>
      <c r="D750" s="1">
        <v>46176</v>
      </c>
      <c r="E750" s="1">
        <v>46221</v>
      </c>
      <c r="F750">
        <v>764420.43</v>
      </c>
      <c r="G750" t="s">
        <v>2562</v>
      </c>
      <c r="H750">
        <v>764420.43</v>
      </c>
      <c r="I750">
        <v>0</v>
      </c>
      <c r="J750">
        <v>44</v>
      </c>
      <c r="K750" t="s">
        <v>2558</v>
      </c>
    </row>
    <row r="751" spans="1:11">
      <c r="A751" t="s">
        <v>2631</v>
      </c>
      <c r="B751" t="s">
        <v>1346</v>
      </c>
      <c r="C751" t="s">
        <v>2556</v>
      </c>
      <c r="D751" s="1">
        <v>46180</v>
      </c>
      <c r="E751" s="1">
        <v>46210</v>
      </c>
      <c r="F751">
        <v>170546.07</v>
      </c>
      <c r="G751" t="s">
        <v>2557</v>
      </c>
      <c r="H751">
        <v>170546.07</v>
      </c>
      <c r="I751">
        <v>0</v>
      </c>
      <c r="J751">
        <v>55</v>
      </c>
      <c r="K751" t="s">
        <v>2558</v>
      </c>
    </row>
    <row r="752" spans="1:11">
      <c r="A752" t="s">
        <v>2631</v>
      </c>
      <c r="B752" t="s">
        <v>1349</v>
      </c>
      <c r="C752" t="s">
        <v>2582</v>
      </c>
      <c r="D752" s="1">
        <v>46191</v>
      </c>
      <c r="E752" s="1">
        <v>46221</v>
      </c>
      <c r="F752">
        <v>26269.73</v>
      </c>
      <c r="G752" t="s">
        <v>2557</v>
      </c>
      <c r="H752">
        <v>18437.78</v>
      </c>
      <c r="I752">
        <v>7831.95</v>
      </c>
      <c r="J752">
        <v>44</v>
      </c>
      <c r="K752" t="s">
        <v>2636</v>
      </c>
    </row>
    <row r="753" spans="1:11">
      <c r="A753" t="s">
        <v>2631</v>
      </c>
      <c r="B753" t="s">
        <v>1351</v>
      </c>
      <c r="C753" t="s">
        <v>2623</v>
      </c>
      <c r="D753" s="1">
        <v>46196</v>
      </c>
      <c r="E753" s="1">
        <v>46226</v>
      </c>
      <c r="F753">
        <v>79779.179999999993</v>
      </c>
      <c r="G753" t="s">
        <v>2562</v>
      </c>
      <c r="H753">
        <v>79779.179999999993</v>
      </c>
      <c r="I753">
        <v>0</v>
      </c>
      <c r="J753">
        <v>39</v>
      </c>
      <c r="K753" t="s">
        <v>2558</v>
      </c>
    </row>
    <row r="754" spans="1:11">
      <c r="A754" t="s">
        <v>2631</v>
      </c>
      <c r="B754" t="s">
        <v>1353</v>
      </c>
      <c r="C754" t="s">
        <v>2577</v>
      </c>
      <c r="D754" s="1">
        <v>46201</v>
      </c>
      <c r="E754" s="1">
        <v>46231</v>
      </c>
      <c r="F754">
        <v>72640.429999999993</v>
      </c>
      <c r="G754" t="s">
        <v>2562</v>
      </c>
      <c r="H754">
        <v>72640.429999999993</v>
      </c>
      <c r="I754">
        <v>0</v>
      </c>
      <c r="J754">
        <v>34</v>
      </c>
      <c r="K754" t="s">
        <v>2558</v>
      </c>
    </row>
    <row r="755" spans="1:11">
      <c r="A755" t="s">
        <v>2655</v>
      </c>
      <c r="B755" t="s">
        <v>1355</v>
      </c>
      <c r="C755" t="s">
        <v>2607</v>
      </c>
      <c r="D755" s="1">
        <v>46207</v>
      </c>
      <c r="E755" s="1">
        <v>46237</v>
      </c>
      <c r="F755">
        <v>63990.92</v>
      </c>
      <c r="G755" t="s">
        <v>2562</v>
      </c>
      <c r="H755">
        <v>63990.92</v>
      </c>
      <c r="I755">
        <v>0</v>
      </c>
      <c r="J755">
        <v>28</v>
      </c>
      <c r="K755" t="s">
        <v>2558</v>
      </c>
    </row>
    <row r="756" spans="1:11">
      <c r="A756" t="s">
        <v>2655</v>
      </c>
      <c r="B756" t="s">
        <v>1357</v>
      </c>
      <c r="C756" t="s">
        <v>2576</v>
      </c>
      <c r="D756" s="1">
        <v>46207</v>
      </c>
      <c r="E756" s="1">
        <v>46252</v>
      </c>
      <c r="F756">
        <v>353946.87</v>
      </c>
      <c r="G756" t="s">
        <v>2566</v>
      </c>
      <c r="H756">
        <v>113599.23000000001</v>
      </c>
      <c r="I756">
        <v>240347.64</v>
      </c>
      <c r="J756">
        <v>13</v>
      </c>
      <c r="K756" t="s">
        <v>2647</v>
      </c>
    </row>
    <row r="757" spans="1:11">
      <c r="A757" t="s">
        <v>2655</v>
      </c>
      <c r="B757" t="s">
        <v>1359</v>
      </c>
      <c r="C757" t="s">
        <v>2585</v>
      </c>
      <c r="D757" s="1">
        <v>46227</v>
      </c>
      <c r="E757" s="1">
        <v>46257</v>
      </c>
      <c r="F757">
        <v>965060.13</v>
      </c>
      <c r="G757" t="s">
        <v>2562</v>
      </c>
      <c r="H757">
        <v>341694.33</v>
      </c>
      <c r="I757">
        <v>623365.80000000005</v>
      </c>
      <c r="J757">
        <v>8</v>
      </c>
      <c r="K757" t="s">
        <v>2647</v>
      </c>
    </row>
    <row r="758" spans="1:11">
      <c r="A758" t="s">
        <v>2631</v>
      </c>
      <c r="B758" t="s">
        <v>1479</v>
      </c>
      <c r="C758" t="s">
        <v>2556</v>
      </c>
      <c r="D758" s="1">
        <v>46176</v>
      </c>
      <c r="E758" s="1">
        <v>46206</v>
      </c>
      <c r="F758">
        <v>196549.57</v>
      </c>
      <c r="G758" t="s">
        <v>2557</v>
      </c>
      <c r="H758">
        <v>196549.57</v>
      </c>
      <c r="I758">
        <v>0</v>
      </c>
      <c r="J758">
        <v>59</v>
      </c>
      <c r="K758" t="s">
        <v>2558</v>
      </c>
    </row>
    <row r="759" spans="1:11">
      <c r="A759" t="s">
        <v>2655</v>
      </c>
      <c r="B759" t="s">
        <v>1361</v>
      </c>
      <c r="C759" t="s">
        <v>2613</v>
      </c>
      <c r="D759" s="1">
        <v>46228</v>
      </c>
      <c r="E759" s="1">
        <v>46288</v>
      </c>
      <c r="F759">
        <v>420612.94</v>
      </c>
      <c r="G759" t="s">
        <v>2560</v>
      </c>
      <c r="H759">
        <v>420612.94</v>
      </c>
      <c r="I759">
        <v>0</v>
      </c>
      <c r="J759">
        <v>-23</v>
      </c>
      <c r="K759" t="s">
        <v>2558</v>
      </c>
    </row>
    <row r="760" spans="1:11">
      <c r="A760" t="s">
        <v>2655</v>
      </c>
      <c r="B760" t="s">
        <v>1363</v>
      </c>
      <c r="C760" t="s">
        <v>2559</v>
      </c>
      <c r="D760" s="1">
        <v>46232</v>
      </c>
      <c r="E760" s="1">
        <v>46247</v>
      </c>
      <c r="F760">
        <v>47719.12</v>
      </c>
      <c r="G760" t="s">
        <v>2560</v>
      </c>
      <c r="H760">
        <v>47719.12</v>
      </c>
      <c r="I760">
        <v>0</v>
      </c>
      <c r="J760">
        <v>18</v>
      </c>
      <c r="K760" t="s">
        <v>2558</v>
      </c>
    </row>
    <row r="761" spans="1:11">
      <c r="A761" t="s">
        <v>2631</v>
      </c>
      <c r="B761" t="s">
        <v>1458</v>
      </c>
      <c r="C761" t="s">
        <v>2610</v>
      </c>
      <c r="D761" s="1">
        <v>46176</v>
      </c>
      <c r="E761" s="1">
        <v>46236</v>
      </c>
      <c r="F761">
        <v>222320.5</v>
      </c>
      <c r="G761" t="s">
        <v>2574</v>
      </c>
      <c r="H761">
        <v>222320.5</v>
      </c>
      <c r="I761">
        <v>0</v>
      </c>
      <c r="J761">
        <v>29</v>
      </c>
      <c r="K761" t="s">
        <v>2558</v>
      </c>
    </row>
    <row r="762" spans="1:11">
      <c r="A762" t="s">
        <v>2631</v>
      </c>
      <c r="B762" t="s">
        <v>2195</v>
      </c>
      <c r="C762" t="s">
        <v>2593</v>
      </c>
      <c r="D762" s="1">
        <v>46177</v>
      </c>
      <c r="E762" s="1">
        <v>46207</v>
      </c>
      <c r="F762">
        <v>15835.27</v>
      </c>
      <c r="G762" t="s">
        <v>2574</v>
      </c>
      <c r="H762">
        <v>15835.27</v>
      </c>
      <c r="I762">
        <v>0</v>
      </c>
      <c r="J762">
        <v>58</v>
      </c>
      <c r="K762" t="s">
        <v>2558</v>
      </c>
    </row>
    <row r="763" spans="1:11">
      <c r="A763" t="s">
        <v>2631</v>
      </c>
      <c r="B763" t="s">
        <v>1373</v>
      </c>
      <c r="C763" t="s">
        <v>2611</v>
      </c>
      <c r="D763" s="1">
        <v>46189</v>
      </c>
      <c r="E763" s="1">
        <v>46234</v>
      </c>
      <c r="F763">
        <v>95205.25</v>
      </c>
      <c r="G763" t="s">
        <v>2566</v>
      </c>
      <c r="H763">
        <v>95205.25</v>
      </c>
      <c r="I763">
        <v>0</v>
      </c>
      <c r="J763">
        <v>31</v>
      </c>
      <c r="K763" t="s">
        <v>2558</v>
      </c>
    </row>
    <row r="764" spans="1:11">
      <c r="A764" t="s">
        <v>2631</v>
      </c>
      <c r="B764" t="s">
        <v>2662</v>
      </c>
      <c r="C764" t="s">
        <v>2613</v>
      </c>
      <c r="D764" s="1">
        <v>46177</v>
      </c>
      <c r="E764" s="1">
        <v>46237</v>
      </c>
      <c r="F764">
        <v>130744.33</v>
      </c>
      <c r="G764" t="s">
        <v>2560</v>
      </c>
      <c r="I764">
        <v>130744.33</v>
      </c>
      <c r="J764">
        <v>28</v>
      </c>
      <c r="K764" t="s">
        <v>2647</v>
      </c>
    </row>
    <row r="765" spans="1:11">
      <c r="A765" t="s">
        <v>2631</v>
      </c>
      <c r="B765" t="s">
        <v>1375</v>
      </c>
      <c r="C765" t="s">
        <v>2582</v>
      </c>
      <c r="D765" s="1">
        <v>46193</v>
      </c>
      <c r="E765" s="1">
        <v>46223</v>
      </c>
      <c r="F765">
        <v>382706.2</v>
      </c>
      <c r="G765" t="s">
        <v>2557</v>
      </c>
      <c r="H765">
        <v>382706.2</v>
      </c>
      <c r="I765">
        <v>0</v>
      </c>
      <c r="J765">
        <v>42</v>
      </c>
      <c r="K765" t="s">
        <v>2558</v>
      </c>
    </row>
    <row r="766" spans="1:11">
      <c r="A766" t="s">
        <v>2631</v>
      </c>
      <c r="B766" t="s">
        <v>1980</v>
      </c>
      <c r="C766" t="s">
        <v>2583</v>
      </c>
      <c r="D766" s="1">
        <v>46177</v>
      </c>
      <c r="E766" s="1">
        <v>46237</v>
      </c>
      <c r="F766">
        <v>463294.53</v>
      </c>
      <c r="G766" t="s">
        <v>2562</v>
      </c>
      <c r="H766">
        <v>463294.53</v>
      </c>
      <c r="I766">
        <v>0</v>
      </c>
      <c r="J766">
        <v>28</v>
      </c>
      <c r="K766" t="s">
        <v>2558</v>
      </c>
    </row>
    <row r="767" spans="1:11">
      <c r="A767" t="s">
        <v>2631</v>
      </c>
      <c r="B767" t="s">
        <v>1377</v>
      </c>
      <c r="C767" t="s">
        <v>2582</v>
      </c>
      <c r="D767" s="1">
        <v>46203</v>
      </c>
      <c r="E767" s="1">
        <v>46233</v>
      </c>
      <c r="F767">
        <v>87499.35</v>
      </c>
      <c r="G767" t="s">
        <v>2557</v>
      </c>
      <c r="H767">
        <v>87499.35</v>
      </c>
      <c r="I767">
        <v>0</v>
      </c>
      <c r="J767">
        <v>32</v>
      </c>
      <c r="K767" t="s">
        <v>2558</v>
      </c>
    </row>
    <row r="768" spans="1:11">
      <c r="A768" t="s">
        <v>2655</v>
      </c>
      <c r="B768" t="s">
        <v>1379</v>
      </c>
      <c r="C768" t="s">
        <v>2587</v>
      </c>
      <c r="D768" s="1">
        <v>46204</v>
      </c>
      <c r="E768" s="1">
        <v>46264</v>
      </c>
      <c r="F768">
        <v>443080.08</v>
      </c>
      <c r="G768" t="s">
        <v>2568</v>
      </c>
      <c r="H768">
        <v>443080.08</v>
      </c>
      <c r="I768">
        <v>0</v>
      </c>
      <c r="J768">
        <v>1</v>
      </c>
      <c r="K768" t="s">
        <v>2558</v>
      </c>
    </row>
    <row r="769" spans="1:11">
      <c r="A769" t="s">
        <v>2655</v>
      </c>
      <c r="B769" t="s">
        <v>1381</v>
      </c>
      <c r="C769" t="s">
        <v>2559</v>
      </c>
      <c r="D769" s="1">
        <v>46204</v>
      </c>
      <c r="E769" s="1">
        <v>46219</v>
      </c>
      <c r="F769">
        <v>34419.730000000003</v>
      </c>
      <c r="G769" t="s">
        <v>2560</v>
      </c>
      <c r="H769">
        <v>34419.730000000003</v>
      </c>
      <c r="I769">
        <v>0</v>
      </c>
      <c r="J769">
        <v>46</v>
      </c>
      <c r="K769" t="s">
        <v>2558</v>
      </c>
    </row>
    <row r="770" spans="1:11">
      <c r="A770" t="s">
        <v>2631</v>
      </c>
      <c r="B770" t="s">
        <v>1400</v>
      </c>
      <c r="C770" t="s">
        <v>2603</v>
      </c>
      <c r="D770" s="1">
        <v>46177</v>
      </c>
      <c r="E770" s="1">
        <v>46207</v>
      </c>
      <c r="F770">
        <v>21926.880000000001</v>
      </c>
      <c r="G770" t="s">
        <v>2557</v>
      </c>
      <c r="H770">
        <v>21926.880000000001</v>
      </c>
      <c r="I770">
        <v>0</v>
      </c>
      <c r="J770">
        <v>58</v>
      </c>
      <c r="K770" t="s">
        <v>2558</v>
      </c>
    </row>
    <row r="771" spans="1:11">
      <c r="A771" t="s">
        <v>2655</v>
      </c>
      <c r="B771" t="s">
        <v>1383</v>
      </c>
      <c r="C771" t="s">
        <v>2576</v>
      </c>
      <c r="D771" s="1">
        <v>46205</v>
      </c>
      <c r="E771" s="1">
        <v>46250</v>
      </c>
      <c r="F771">
        <v>345820.59</v>
      </c>
      <c r="G771" t="s">
        <v>2566</v>
      </c>
      <c r="H771">
        <v>345820.59</v>
      </c>
      <c r="I771">
        <v>0</v>
      </c>
      <c r="J771">
        <v>15</v>
      </c>
      <c r="K771" t="s">
        <v>2558</v>
      </c>
    </row>
    <row r="772" spans="1:11">
      <c r="A772" t="s">
        <v>2655</v>
      </c>
      <c r="B772" t="s">
        <v>1385</v>
      </c>
      <c r="C772" t="s">
        <v>2593</v>
      </c>
      <c r="D772" s="1">
        <v>46208</v>
      </c>
      <c r="E772" s="1">
        <v>46238</v>
      </c>
      <c r="F772">
        <v>134352.46</v>
      </c>
      <c r="G772" t="s">
        <v>2574</v>
      </c>
      <c r="H772">
        <v>134352.46</v>
      </c>
      <c r="I772">
        <v>0</v>
      </c>
      <c r="J772">
        <v>27</v>
      </c>
      <c r="K772" t="s">
        <v>2558</v>
      </c>
    </row>
    <row r="773" spans="1:11">
      <c r="A773" t="s">
        <v>2631</v>
      </c>
      <c r="B773" t="s">
        <v>2350</v>
      </c>
      <c r="C773" t="s">
        <v>2576</v>
      </c>
      <c r="D773" s="1">
        <v>46177</v>
      </c>
      <c r="E773" s="1">
        <v>46222</v>
      </c>
      <c r="F773">
        <v>266489</v>
      </c>
      <c r="G773" t="s">
        <v>2566</v>
      </c>
      <c r="H773">
        <v>266489</v>
      </c>
      <c r="I773">
        <v>0</v>
      </c>
      <c r="J773">
        <v>43</v>
      </c>
      <c r="K773" t="s">
        <v>2558</v>
      </c>
    </row>
    <row r="774" spans="1:11">
      <c r="A774" t="s">
        <v>2655</v>
      </c>
      <c r="B774" t="s">
        <v>1387</v>
      </c>
      <c r="C774" t="s">
        <v>2556</v>
      </c>
      <c r="D774" s="1">
        <v>46209</v>
      </c>
      <c r="E774" s="1">
        <v>46239</v>
      </c>
      <c r="F774">
        <v>371118.94</v>
      </c>
      <c r="G774" t="s">
        <v>2557</v>
      </c>
      <c r="H774">
        <v>371118.94</v>
      </c>
      <c r="I774">
        <v>0</v>
      </c>
      <c r="J774">
        <v>26</v>
      </c>
      <c r="K774" t="s">
        <v>2558</v>
      </c>
    </row>
    <row r="775" spans="1:11">
      <c r="A775" t="s">
        <v>2655</v>
      </c>
      <c r="B775" t="s">
        <v>1389</v>
      </c>
      <c r="C775" t="s">
        <v>2582</v>
      </c>
      <c r="D775" s="1">
        <v>46217</v>
      </c>
      <c r="E775" s="1">
        <v>46247</v>
      </c>
      <c r="F775">
        <v>125367.96</v>
      </c>
      <c r="G775" t="s">
        <v>2557</v>
      </c>
      <c r="H775">
        <v>25589.63</v>
      </c>
      <c r="I775">
        <v>99778.33</v>
      </c>
      <c r="J775">
        <v>18</v>
      </c>
      <c r="K775" t="s">
        <v>2647</v>
      </c>
    </row>
    <row r="776" spans="1:11">
      <c r="A776" t="s">
        <v>2631</v>
      </c>
      <c r="B776" t="s">
        <v>2663</v>
      </c>
      <c r="C776" t="s">
        <v>2556</v>
      </c>
      <c r="D776" s="1">
        <v>46177</v>
      </c>
      <c r="E776" s="1">
        <v>46207</v>
      </c>
      <c r="F776">
        <v>230060.89</v>
      </c>
      <c r="G776" t="s">
        <v>2557</v>
      </c>
      <c r="I776">
        <v>230060.89</v>
      </c>
      <c r="J776">
        <v>58</v>
      </c>
      <c r="K776" t="s">
        <v>2636</v>
      </c>
    </row>
    <row r="777" spans="1:11">
      <c r="A777" t="s">
        <v>2655</v>
      </c>
      <c r="B777" t="s">
        <v>1391</v>
      </c>
      <c r="C777" t="s">
        <v>2573</v>
      </c>
      <c r="D777" s="1">
        <v>46219</v>
      </c>
      <c r="E777" s="1">
        <v>46249</v>
      </c>
      <c r="F777">
        <v>17226.740000000002</v>
      </c>
      <c r="G777" t="s">
        <v>2574</v>
      </c>
      <c r="H777">
        <v>17226.740000000002</v>
      </c>
      <c r="I777">
        <v>0</v>
      </c>
      <c r="J777">
        <v>16</v>
      </c>
      <c r="K777" t="s">
        <v>2558</v>
      </c>
    </row>
    <row r="778" spans="1:11">
      <c r="A778" t="s">
        <v>2631</v>
      </c>
      <c r="B778" t="s">
        <v>1565</v>
      </c>
      <c r="C778" t="s">
        <v>2582</v>
      </c>
      <c r="D778" s="1">
        <v>46178</v>
      </c>
      <c r="E778" s="1">
        <v>46208</v>
      </c>
      <c r="F778">
        <v>325765.06</v>
      </c>
      <c r="G778" t="s">
        <v>2557</v>
      </c>
      <c r="H778">
        <v>325765.06</v>
      </c>
      <c r="I778">
        <v>0</v>
      </c>
      <c r="J778">
        <v>57</v>
      </c>
      <c r="K778" t="s">
        <v>2558</v>
      </c>
    </row>
    <row r="779" spans="1:11">
      <c r="A779" t="s">
        <v>2655</v>
      </c>
      <c r="B779" t="s">
        <v>1393</v>
      </c>
      <c r="C779" t="s">
        <v>2559</v>
      </c>
      <c r="D779" s="1">
        <v>46229</v>
      </c>
      <c r="E779" s="1">
        <v>46244</v>
      </c>
      <c r="F779">
        <v>24234.959999999999</v>
      </c>
      <c r="G779" t="s">
        <v>2560</v>
      </c>
      <c r="H779">
        <v>24234.959999999999</v>
      </c>
      <c r="I779">
        <v>0</v>
      </c>
      <c r="J779">
        <v>21</v>
      </c>
      <c r="K779" t="s">
        <v>2558</v>
      </c>
    </row>
    <row r="780" spans="1:11">
      <c r="A780" t="s">
        <v>2631</v>
      </c>
      <c r="B780" t="s">
        <v>2198</v>
      </c>
      <c r="C780" t="s">
        <v>2583</v>
      </c>
      <c r="D780" s="1">
        <v>46178</v>
      </c>
      <c r="E780" s="1">
        <v>46238</v>
      </c>
      <c r="F780">
        <v>360577.97</v>
      </c>
      <c r="G780" t="s">
        <v>2562</v>
      </c>
      <c r="H780">
        <v>360577.97</v>
      </c>
      <c r="I780">
        <v>0</v>
      </c>
      <c r="J780">
        <v>27</v>
      </c>
      <c r="K780" t="s">
        <v>2558</v>
      </c>
    </row>
    <row r="781" spans="1:11">
      <c r="A781" t="s">
        <v>2631</v>
      </c>
      <c r="B781" t="s">
        <v>2200</v>
      </c>
      <c r="C781" t="s">
        <v>2607</v>
      </c>
      <c r="D781" s="1">
        <v>46178</v>
      </c>
      <c r="E781" s="1">
        <v>46208</v>
      </c>
      <c r="F781">
        <v>57634.15</v>
      </c>
      <c r="G781" t="s">
        <v>2562</v>
      </c>
      <c r="H781">
        <v>57634.15</v>
      </c>
      <c r="I781">
        <v>0</v>
      </c>
      <c r="J781">
        <v>57</v>
      </c>
      <c r="K781" t="s">
        <v>2558</v>
      </c>
    </row>
    <row r="782" spans="1:11">
      <c r="A782" t="s">
        <v>2631</v>
      </c>
      <c r="B782" t="s">
        <v>1402</v>
      </c>
      <c r="C782" t="s">
        <v>2570</v>
      </c>
      <c r="D782" s="1">
        <v>46182</v>
      </c>
      <c r="E782" s="1">
        <v>46212</v>
      </c>
      <c r="F782">
        <v>126030.58</v>
      </c>
      <c r="G782" t="s">
        <v>2557</v>
      </c>
      <c r="H782">
        <v>126030.58</v>
      </c>
      <c r="I782">
        <v>0</v>
      </c>
      <c r="J782">
        <v>53</v>
      </c>
      <c r="K782" t="s">
        <v>2558</v>
      </c>
    </row>
    <row r="783" spans="1:11">
      <c r="A783" t="s">
        <v>2631</v>
      </c>
      <c r="B783" t="s">
        <v>1699</v>
      </c>
      <c r="C783" t="s">
        <v>2579</v>
      </c>
      <c r="D783" s="1">
        <v>46178</v>
      </c>
      <c r="E783" s="1">
        <v>46208</v>
      </c>
      <c r="F783">
        <v>353607.79</v>
      </c>
      <c r="G783" t="s">
        <v>2557</v>
      </c>
      <c r="H783">
        <v>353607.79</v>
      </c>
      <c r="I783">
        <v>0</v>
      </c>
      <c r="J783">
        <v>57</v>
      </c>
      <c r="K783" t="s">
        <v>2558</v>
      </c>
    </row>
    <row r="784" spans="1:11">
      <c r="A784" t="s">
        <v>2631</v>
      </c>
      <c r="B784" t="s">
        <v>1404</v>
      </c>
      <c r="C784" t="s">
        <v>2582</v>
      </c>
      <c r="D784" s="1">
        <v>46183</v>
      </c>
      <c r="E784" s="1">
        <v>46213</v>
      </c>
      <c r="F784">
        <v>85243.839999999997</v>
      </c>
      <c r="G784" t="s">
        <v>2557</v>
      </c>
      <c r="H784">
        <v>57944.4</v>
      </c>
      <c r="I784">
        <v>27299.439999999999</v>
      </c>
      <c r="J784">
        <v>52</v>
      </c>
      <c r="K784" t="s">
        <v>2636</v>
      </c>
    </row>
    <row r="785" spans="1:11">
      <c r="A785" t="s">
        <v>2631</v>
      </c>
      <c r="B785" t="s">
        <v>1406</v>
      </c>
      <c r="C785" t="s">
        <v>2583</v>
      </c>
      <c r="D785" s="1">
        <v>46188</v>
      </c>
      <c r="E785" s="1">
        <v>46248</v>
      </c>
      <c r="F785">
        <v>309660.52</v>
      </c>
      <c r="G785" t="s">
        <v>2562</v>
      </c>
      <c r="H785">
        <v>202769.16</v>
      </c>
      <c r="I785">
        <v>106891.36</v>
      </c>
      <c r="J785">
        <v>17</v>
      </c>
      <c r="K785" t="s">
        <v>2647</v>
      </c>
    </row>
    <row r="786" spans="1:11">
      <c r="A786" t="s">
        <v>2631</v>
      </c>
      <c r="B786" t="s">
        <v>1771</v>
      </c>
      <c r="C786" t="s">
        <v>2623</v>
      </c>
      <c r="D786" s="1">
        <v>46178</v>
      </c>
      <c r="E786" s="1">
        <v>46208</v>
      </c>
      <c r="F786">
        <v>47476.37</v>
      </c>
      <c r="G786" t="s">
        <v>2562</v>
      </c>
      <c r="H786">
        <v>47476.37</v>
      </c>
      <c r="I786">
        <v>0</v>
      </c>
      <c r="J786">
        <v>57</v>
      </c>
      <c r="K786" t="s">
        <v>2558</v>
      </c>
    </row>
    <row r="787" spans="1:11">
      <c r="A787" t="s">
        <v>2631</v>
      </c>
      <c r="B787" t="s">
        <v>1408</v>
      </c>
      <c r="C787" t="s">
        <v>2615</v>
      </c>
      <c r="D787" s="1">
        <v>46194</v>
      </c>
      <c r="E787" s="1">
        <v>46209</v>
      </c>
      <c r="F787">
        <v>23523.34</v>
      </c>
      <c r="G787" t="s">
        <v>2574</v>
      </c>
      <c r="H787">
        <v>23523.34</v>
      </c>
      <c r="I787">
        <v>0</v>
      </c>
      <c r="J787">
        <v>56</v>
      </c>
      <c r="K787" t="s">
        <v>2558</v>
      </c>
    </row>
    <row r="788" spans="1:11">
      <c r="A788" t="s">
        <v>2631</v>
      </c>
      <c r="B788" t="s">
        <v>1410</v>
      </c>
      <c r="C788" t="s">
        <v>2603</v>
      </c>
      <c r="D788" s="1">
        <v>46194</v>
      </c>
      <c r="E788" s="1">
        <v>46224</v>
      </c>
      <c r="F788">
        <v>52607.839999999997</v>
      </c>
      <c r="G788" t="s">
        <v>2557</v>
      </c>
      <c r="H788">
        <v>52607.839999999997</v>
      </c>
      <c r="I788">
        <v>0</v>
      </c>
      <c r="J788">
        <v>41</v>
      </c>
      <c r="K788" t="s">
        <v>2558</v>
      </c>
    </row>
    <row r="789" spans="1:11">
      <c r="A789" t="s">
        <v>2631</v>
      </c>
      <c r="B789" t="s">
        <v>2202</v>
      </c>
      <c r="C789" t="s">
        <v>2577</v>
      </c>
      <c r="D789" s="1">
        <v>46179</v>
      </c>
      <c r="E789" s="1">
        <v>46209</v>
      </c>
      <c r="F789">
        <v>22299.42</v>
      </c>
      <c r="G789" t="s">
        <v>2562</v>
      </c>
      <c r="H789">
        <v>22299.42</v>
      </c>
      <c r="I789">
        <v>0</v>
      </c>
      <c r="J789">
        <v>56</v>
      </c>
      <c r="K789" t="s">
        <v>2558</v>
      </c>
    </row>
    <row r="790" spans="1:11">
      <c r="A790" t="s">
        <v>2631</v>
      </c>
      <c r="B790" t="s">
        <v>1412</v>
      </c>
      <c r="C790" t="s">
        <v>2587</v>
      </c>
      <c r="D790" s="1">
        <v>46196</v>
      </c>
      <c r="E790" s="1">
        <v>46256</v>
      </c>
      <c r="F790">
        <v>681964.28</v>
      </c>
      <c r="G790" t="s">
        <v>2568</v>
      </c>
      <c r="H790">
        <v>681964.28</v>
      </c>
      <c r="I790">
        <v>0</v>
      </c>
      <c r="J790">
        <v>9</v>
      </c>
      <c r="K790" t="s">
        <v>2558</v>
      </c>
    </row>
    <row r="791" spans="1:11">
      <c r="A791" t="s">
        <v>2631</v>
      </c>
      <c r="B791" t="s">
        <v>1982</v>
      </c>
      <c r="C791" t="s">
        <v>2567</v>
      </c>
      <c r="D791" s="1">
        <v>46179</v>
      </c>
      <c r="E791" s="1">
        <v>46224</v>
      </c>
      <c r="F791">
        <v>200721</v>
      </c>
      <c r="G791" t="s">
        <v>2568</v>
      </c>
      <c r="H791">
        <v>200721</v>
      </c>
      <c r="I791">
        <v>0</v>
      </c>
      <c r="J791">
        <v>41</v>
      </c>
      <c r="K791" t="s">
        <v>2558</v>
      </c>
    </row>
    <row r="792" spans="1:11">
      <c r="A792" t="s">
        <v>2655</v>
      </c>
      <c r="B792" t="s">
        <v>1414</v>
      </c>
      <c r="C792" t="s">
        <v>2561</v>
      </c>
      <c r="D792" s="1">
        <v>46206</v>
      </c>
      <c r="E792" s="1">
        <v>46251</v>
      </c>
      <c r="F792">
        <v>346081.64</v>
      </c>
      <c r="G792" t="s">
        <v>2562</v>
      </c>
      <c r="H792">
        <v>346081.64</v>
      </c>
      <c r="I792">
        <v>0</v>
      </c>
      <c r="J792">
        <v>14</v>
      </c>
      <c r="K792" t="s">
        <v>2558</v>
      </c>
    </row>
    <row r="793" spans="1:11">
      <c r="A793" t="s">
        <v>2655</v>
      </c>
      <c r="B793" t="s">
        <v>1416</v>
      </c>
      <c r="C793" t="s">
        <v>2585</v>
      </c>
      <c r="D793" s="1">
        <v>46210</v>
      </c>
      <c r="E793" s="1">
        <v>46240</v>
      </c>
      <c r="F793">
        <v>778277.15</v>
      </c>
      <c r="G793" t="s">
        <v>2562</v>
      </c>
      <c r="H793">
        <v>778277.15</v>
      </c>
      <c r="I793">
        <v>0</v>
      </c>
      <c r="J793">
        <v>25</v>
      </c>
      <c r="K793" t="s">
        <v>2558</v>
      </c>
    </row>
    <row r="794" spans="1:11">
      <c r="A794" t="s">
        <v>2631</v>
      </c>
      <c r="B794" t="s">
        <v>2352</v>
      </c>
      <c r="C794" t="s">
        <v>2585</v>
      </c>
      <c r="D794" s="1">
        <v>46179</v>
      </c>
      <c r="E794" s="1">
        <v>46209</v>
      </c>
      <c r="F794">
        <v>1164095.3700000001</v>
      </c>
      <c r="G794" t="s">
        <v>2562</v>
      </c>
      <c r="H794">
        <v>1164095.3700000001</v>
      </c>
      <c r="I794">
        <v>0</v>
      </c>
      <c r="J794">
        <v>56</v>
      </c>
      <c r="K794" t="s">
        <v>2558</v>
      </c>
    </row>
    <row r="795" spans="1:11">
      <c r="A795" t="s">
        <v>2631</v>
      </c>
      <c r="B795" t="s">
        <v>2664</v>
      </c>
      <c r="C795" t="s">
        <v>2599</v>
      </c>
      <c r="D795" s="1">
        <v>46179</v>
      </c>
      <c r="E795" s="1">
        <v>46239</v>
      </c>
      <c r="F795">
        <v>169172.44</v>
      </c>
      <c r="G795" t="s">
        <v>2562</v>
      </c>
      <c r="I795">
        <v>169172.44</v>
      </c>
      <c r="J795">
        <v>26</v>
      </c>
      <c r="K795" t="s">
        <v>2647</v>
      </c>
    </row>
    <row r="796" spans="1:11">
      <c r="A796" t="s">
        <v>2631</v>
      </c>
      <c r="B796" t="s">
        <v>1773</v>
      </c>
      <c r="C796" t="s">
        <v>2583</v>
      </c>
      <c r="D796" s="1">
        <v>46179</v>
      </c>
      <c r="E796" s="1">
        <v>46239</v>
      </c>
      <c r="F796">
        <v>140550.75</v>
      </c>
      <c r="G796" t="s">
        <v>2562</v>
      </c>
      <c r="H796">
        <v>140550.75</v>
      </c>
      <c r="I796">
        <v>0</v>
      </c>
      <c r="J796">
        <v>26</v>
      </c>
      <c r="K796" t="s">
        <v>2558</v>
      </c>
    </row>
    <row r="797" spans="1:11">
      <c r="A797" t="s">
        <v>2631</v>
      </c>
      <c r="B797" t="s">
        <v>1428</v>
      </c>
      <c r="C797" t="s">
        <v>2576</v>
      </c>
      <c r="D797" s="1">
        <v>46196</v>
      </c>
      <c r="E797" s="1">
        <v>46241</v>
      </c>
      <c r="F797">
        <v>2000000</v>
      </c>
      <c r="G797" t="s">
        <v>2566</v>
      </c>
      <c r="H797">
        <v>2000000</v>
      </c>
      <c r="I797">
        <v>0</v>
      </c>
      <c r="J797">
        <v>24</v>
      </c>
      <c r="K797" t="s">
        <v>2558</v>
      </c>
    </row>
    <row r="798" spans="1:11">
      <c r="A798" t="s">
        <v>2631</v>
      </c>
      <c r="B798" t="s">
        <v>1430</v>
      </c>
      <c r="C798" t="s">
        <v>2582</v>
      </c>
      <c r="D798" s="1">
        <v>46198</v>
      </c>
      <c r="E798" s="1">
        <v>46228</v>
      </c>
      <c r="F798">
        <v>62804.26</v>
      </c>
      <c r="G798" t="s">
        <v>2557</v>
      </c>
      <c r="H798">
        <v>62804.26</v>
      </c>
      <c r="I798">
        <v>0</v>
      </c>
      <c r="J798">
        <v>37</v>
      </c>
      <c r="K798" t="s">
        <v>2558</v>
      </c>
    </row>
    <row r="799" spans="1:11">
      <c r="A799" t="s">
        <v>2631</v>
      </c>
      <c r="B799" t="s">
        <v>1432</v>
      </c>
      <c r="C799" t="s">
        <v>2616</v>
      </c>
      <c r="D799" s="1">
        <v>46199</v>
      </c>
      <c r="E799" s="1">
        <v>46214</v>
      </c>
      <c r="F799">
        <v>12400.97</v>
      </c>
      <c r="G799" t="s">
        <v>2560</v>
      </c>
      <c r="H799">
        <v>3673.1</v>
      </c>
      <c r="I799">
        <v>8727.8700000000008</v>
      </c>
      <c r="J799">
        <v>51</v>
      </c>
      <c r="K799" t="s">
        <v>2636</v>
      </c>
    </row>
    <row r="800" spans="1:11">
      <c r="A800" t="s">
        <v>2655</v>
      </c>
      <c r="B800" t="s">
        <v>1436</v>
      </c>
      <c r="C800" t="s">
        <v>2579</v>
      </c>
      <c r="D800" s="1">
        <v>46205</v>
      </c>
      <c r="E800" s="1">
        <v>46235</v>
      </c>
      <c r="F800">
        <v>884580.96</v>
      </c>
      <c r="G800" t="s">
        <v>2557</v>
      </c>
      <c r="H800">
        <v>884580.96</v>
      </c>
      <c r="I800">
        <v>0</v>
      </c>
      <c r="J800">
        <v>30</v>
      </c>
      <c r="K800" t="s">
        <v>2558</v>
      </c>
    </row>
    <row r="801" spans="1:11">
      <c r="A801" t="s">
        <v>2655</v>
      </c>
      <c r="B801" t="s">
        <v>1438</v>
      </c>
      <c r="C801" t="s">
        <v>2585</v>
      </c>
      <c r="D801" s="1">
        <v>46212</v>
      </c>
      <c r="E801" s="1">
        <v>46242</v>
      </c>
      <c r="F801">
        <v>649930.14</v>
      </c>
      <c r="G801" t="s">
        <v>2562</v>
      </c>
      <c r="H801">
        <v>649930.14</v>
      </c>
      <c r="I801">
        <v>0</v>
      </c>
      <c r="J801">
        <v>23</v>
      </c>
      <c r="K801" t="s">
        <v>2558</v>
      </c>
    </row>
    <row r="802" spans="1:11">
      <c r="A802" t="s">
        <v>2655</v>
      </c>
      <c r="B802" t="s">
        <v>1440</v>
      </c>
      <c r="C802" t="s">
        <v>2579</v>
      </c>
      <c r="D802" s="1">
        <v>46212</v>
      </c>
      <c r="E802" s="1">
        <v>46242</v>
      </c>
      <c r="F802">
        <v>181445.19</v>
      </c>
      <c r="G802" t="s">
        <v>2557</v>
      </c>
      <c r="H802">
        <v>181445.19</v>
      </c>
      <c r="I802">
        <v>0</v>
      </c>
      <c r="J802">
        <v>23</v>
      </c>
      <c r="K802" t="s">
        <v>2558</v>
      </c>
    </row>
    <row r="803" spans="1:11">
      <c r="A803" t="s">
        <v>2655</v>
      </c>
      <c r="B803" t="s">
        <v>1442</v>
      </c>
      <c r="C803" t="s">
        <v>2615</v>
      </c>
      <c r="D803" s="1">
        <v>46214</v>
      </c>
      <c r="E803" s="1">
        <v>46229</v>
      </c>
      <c r="F803">
        <v>32185.46</v>
      </c>
      <c r="G803" t="s">
        <v>2574</v>
      </c>
      <c r="H803">
        <v>32185.46</v>
      </c>
      <c r="I803">
        <v>0</v>
      </c>
      <c r="J803">
        <v>36</v>
      </c>
      <c r="K803" t="s">
        <v>2558</v>
      </c>
    </row>
    <row r="804" spans="1:11">
      <c r="A804" t="s">
        <v>2631</v>
      </c>
      <c r="B804" t="s">
        <v>2298</v>
      </c>
      <c r="C804" t="s">
        <v>2556</v>
      </c>
      <c r="D804" s="1">
        <v>46180</v>
      </c>
      <c r="E804" s="1">
        <v>46210</v>
      </c>
      <c r="F804">
        <v>31472.04</v>
      </c>
      <c r="G804" t="s">
        <v>2557</v>
      </c>
      <c r="H804">
        <v>31472.04</v>
      </c>
      <c r="I804">
        <v>0</v>
      </c>
      <c r="J804">
        <v>55</v>
      </c>
      <c r="K804" t="s">
        <v>2558</v>
      </c>
    </row>
    <row r="805" spans="1:11">
      <c r="A805" t="s">
        <v>2655</v>
      </c>
      <c r="B805" t="s">
        <v>1444</v>
      </c>
      <c r="C805" t="s">
        <v>2582</v>
      </c>
      <c r="D805" s="1">
        <v>46216</v>
      </c>
      <c r="E805" s="1">
        <v>46246</v>
      </c>
      <c r="F805">
        <v>2000000</v>
      </c>
      <c r="G805" t="s">
        <v>2557</v>
      </c>
      <c r="H805">
        <v>2000000</v>
      </c>
      <c r="I805">
        <v>0</v>
      </c>
      <c r="J805">
        <v>19</v>
      </c>
      <c r="K805" t="s">
        <v>2558</v>
      </c>
    </row>
    <row r="806" spans="1:11">
      <c r="A806" t="s">
        <v>2631</v>
      </c>
      <c r="B806" t="s">
        <v>2665</v>
      </c>
      <c r="C806" t="s">
        <v>2579</v>
      </c>
      <c r="D806" s="1">
        <v>46180</v>
      </c>
      <c r="E806" s="1">
        <v>46210</v>
      </c>
      <c r="F806">
        <v>790238.73</v>
      </c>
      <c r="G806" t="s">
        <v>2557</v>
      </c>
      <c r="I806">
        <v>790238.73</v>
      </c>
      <c r="J806">
        <v>55</v>
      </c>
      <c r="K806" t="s">
        <v>2636</v>
      </c>
    </row>
    <row r="807" spans="1:11">
      <c r="A807" t="s">
        <v>2655</v>
      </c>
      <c r="B807" t="s">
        <v>1446</v>
      </c>
      <c r="C807" t="s">
        <v>2576</v>
      </c>
      <c r="D807" s="1">
        <v>46218</v>
      </c>
      <c r="E807" s="1">
        <v>46263</v>
      </c>
      <c r="F807">
        <v>586036.93999999994</v>
      </c>
      <c r="G807" t="s">
        <v>2566</v>
      </c>
      <c r="H807">
        <v>586036.93999999994</v>
      </c>
      <c r="I807">
        <v>0</v>
      </c>
      <c r="J807">
        <v>2</v>
      </c>
      <c r="K807" t="s">
        <v>2558</v>
      </c>
    </row>
    <row r="808" spans="1:11">
      <c r="A808" t="s">
        <v>2655</v>
      </c>
      <c r="B808" t="s">
        <v>1448</v>
      </c>
      <c r="C808" t="s">
        <v>2623</v>
      </c>
      <c r="D808" s="1">
        <v>46220</v>
      </c>
      <c r="E808" s="1">
        <v>46250</v>
      </c>
      <c r="F808">
        <v>86168.89</v>
      </c>
      <c r="G808" t="s">
        <v>2562</v>
      </c>
      <c r="H808">
        <v>86168.89</v>
      </c>
      <c r="I808">
        <v>0</v>
      </c>
      <c r="J808">
        <v>15</v>
      </c>
      <c r="K808" t="s">
        <v>2558</v>
      </c>
    </row>
    <row r="809" spans="1:11">
      <c r="A809" t="s">
        <v>2655</v>
      </c>
      <c r="B809" t="s">
        <v>1450</v>
      </c>
      <c r="C809" t="s">
        <v>2600</v>
      </c>
      <c r="D809" s="1">
        <v>46220</v>
      </c>
      <c r="E809" s="1">
        <v>46250</v>
      </c>
      <c r="F809">
        <v>50423.9</v>
      </c>
      <c r="G809" t="s">
        <v>2568</v>
      </c>
      <c r="H809">
        <v>50423.9</v>
      </c>
      <c r="I809">
        <v>0</v>
      </c>
      <c r="J809">
        <v>15</v>
      </c>
      <c r="K809" t="s">
        <v>2558</v>
      </c>
    </row>
    <row r="810" spans="1:11">
      <c r="A810" t="s">
        <v>2655</v>
      </c>
      <c r="B810" t="s">
        <v>1452</v>
      </c>
      <c r="C810" t="s">
        <v>2579</v>
      </c>
      <c r="D810" s="1">
        <v>46227</v>
      </c>
      <c r="E810" s="1">
        <v>46257</v>
      </c>
      <c r="F810">
        <v>294667.02</v>
      </c>
      <c r="G810" t="s">
        <v>2557</v>
      </c>
      <c r="H810">
        <v>294667.02</v>
      </c>
      <c r="I810">
        <v>0</v>
      </c>
      <c r="J810">
        <v>8</v>
      </c>
      <c r="K810" t="s">
        <v>2558</v>
      </c>
    </row>
    <row r="811" spans="1:11">
      <c r="A811" t="s">
        <v>2631</v>
      </c>
      <c r="B811" t="s">
        <v>2498</v>
      </c>
      <c r="C811" t="s">
        <v>2576</v>
      </c>
      <c r="D811" s="1">
        <v>46181</v>
      </c>
      <c r="E811" s="1">
        <v>46226</v>
      </c>
      <c r="F811">
        <v>1028441.01</v>
      </c>
      <c r="G811" t="s">
        <v>2566</v>
      </c>
      <c r="H811">
        <v>1028441.01</v>
      </c>
      <c r="I811">
        <v>0</v>
      </c>
      <c r="J811">
        <v>39</v>
      </c>
      <c r="K811" t="s">
        <v>2558</v>
      </c>
    </row>
    <row r="812" spans="1:11">
      <c r="A812" t="s">
        <v>2631</v>
      </c>
      <c r="B812" t="s">
        <v>1738</v>
      </c>
      <c r="C812" t="s">
        <v>2588</v>
      </c>
      <c r="D812" s="1">
        <v>46181</v>
      </c>
      <c r="E812" s="1">
        <v>46211</v>
      </c>
      <c r="F812">
        <v>89886.41</v>
      </c>
      <c r="G812" t="s">
        <v>2562</v>
      </c>
      <c r="H812">
        <v>89886.41</v>
      </c>
      <c r="I812">
        <v>0</v>
      </c>
      <c r="J812">
        <v>54</v>
      </c>
      <c r="K812" t="s">
        <v>2558</v>
      </c>
    </row>
    <row r="813" spans="1:11">
      <c r="A813" t="s">
        <v>2631</v>
      </c>
      <c r="B813" t="s">
        <v>1460</v>
      </c>
      <c r="C813" t="s">
        <v>2580</v>
      </c>
      <c r="D813" s="1">
        <v>46187</v>
      </c>
      <c r="E813" s="1">
        <v>46202</v>
      </c>
      <c r="F813">
        <v>29240.79</v>
      </c>
      <c r="G813" t="s">
        <v>2557</v>
      </c>
      <c r="H813">
        <v>29240.79</v>
      </c>
      <c r="I813">
        <v>0</v>
      </c>
      <c r="J813">
        <v>63</v>
      </c>
      <c r="K813" t="s">
        <v>2558</v>
      </c>
    </row>
    <row r="814" spans="1:11">
      <c r="A814" t="s">
        <v>2631</v>
      </c>
      <c r="B814" t="s">
        <v>2117</v>
      </c>
      <c r="C814" t="s">
        <v>2597</v>
      </c>
      <c r="D814" s="1">
        <v>46181</v>
      </c>
      <c r="E814" s="1">
        <v>46226</v>
      </c>
      <c r="F814">
        <v>48826.81</v>
      </c>
      <c r="G814" t="s">
        <v>2574</v>
      </c>
      <c r="H814">
        <v>48826.81</v>
      </c>
      <c r="I814">
        <v>0</v>
      </c>
      <c r="J814">
        <v>39</v>
      </c>
      <c r="K814" t="s">
        <v>2558</v>
      </c>
    </row>
    <row r="815" spans="1:11">
      <c r="A815" t="s">
        <v>2631</v>
      </c>
      <c r="B815" t="s">
        <v>1462</v>
      </c>
      <c r="C815" t="s">
        <v>2576</v>
      </c>
      <c r="D815" s="1">
        <v>46190</v>
      </c>
      <c r="E815" s="1">
        <v>46235</v>
      </c>
      <c r="F815">
        <v>122879.21</v>
      </c>
      <c r="G815" t="s">
        <v>2566</v>
      </c>
      <c r="H815">
        <v>122879.21</v>
      </c>
      <c r="I815">
        <v>0</v>
      </c>
      <c r="J815">
        <v>30</v>
      </c>
      <c r="K815" t="s">
        <v>2558</v>
      </c>
    </row>
    <row r="816" spans="1:11">
      <c r="A816" t="s">
        <v>2631</v>
      </c>
      <c r="B816" t="s">
        <v>1464</v>
      </c>
      <c r="C816" t="s">
        <v>2585</v>
      </c>
      <c r="D816" s="1">
        <v>46191</v>
      </c>
      <c r="E816" s="1">
        <v>46221</v>
      </c>
      <c r="F816">
        <v>961027.82</v>
      </c>
      <c r="G816" t="s">
        <v>2562</v>
      </c>
      <c r="H816">
        <v>961027.82</v>
      </c>
      <c r="I816">
        <v>0</v>
      </c>
      <c r="J816">
        <v>44</v>
      </c>
      <c r="K816" t="s">
        <v>2558</v>
      </c>
    </row>
    <row r="817" spans="1:11">
      <c r="A817" t="s">
        <v>2631</v>
      </c>
      <c r="B817" t="s">
        <v>1817</v>
      </c>
      <c r="C817" t="s">
        <v>2575</v>
      </c>
      <c r="D817" s="1">
        <v>46181</v>
      </c>
      <c r="E817" s="1">
        <v>46196</v>
      </c>
      <c r="F817">
        <v>21307.439999999999</v>
      </c>
      <c r="G817" t="s">
        <v>2574</v>
      </c>
      <c r="H817">
        <v>21307.439999999999</v>
      </c>
      <c r="I817">
        <v>0</v>
      </c>
      <c r="J817">
        <v>69</v>
      </c>
      <c r="K817" t="s">
        <v>2558</v>
      </c>
    </row>
    <row r="818" spans="1:11">
      <c r="A818" t="s">
        <v>2631</v>
      </c>
      <c r="B818" t="s">
        <v>1466</v>
      </c>
      <c r="C818" t="s">
        <v>2588</v>
      </c>
      <c r="D818" s="1">
        <v>46196</v>
      </c>
      <c r="E818" s="1">
        <v>46226</v>
      </c>
      <c r="F818">
        <v>131898.54999999999</v>
      </c>
      <c r="G818" t="s">
        <v>2562</v>
      </c>
      <c r="H818">
        <v>131898.54999999999</v>
      </c>
      <c r="I818">
        <v>0</v>
      </c>
      <c r="J818">
        <v>39</v>
      </c>
      <c r="K818" t="s">
        <v>2558</v>
      </c>
    </row>
    <row r="819" spans="1:11">
      <c r="A819" t="s">
        <v>2631</v>
      </c>
      <c r="B819" t="s">
        <v>1819</v>
      </c>
      <c r="C819" t="s">
        <v>2569</v>
      </c>
      <c r="D819" s="1">
        <v>46181</v>
      </c>
      <c r="E819" s="1">
        <v>46196</v>
      </c>
      <c r="F819">
        <v>22377.759999999998</v>
      </c>
      <c r="G819" t="s">
        <v>2557</v>
      </c>
      <c r="H819">
        <v>22377.759999999998</v>
      </c>
      <c r="I819">
        <v>0</v>
      </c>
      <c r="J819">
        <v>69</v>
      </c>
      <c r="K819" t="s">
        <v>2558</v>
      </c>
    </row>
    <row r="820" spans="1:11">
      <c r="A820" t="s">
        <v>2655</v>
      </c>
      <c r="B820" t="s">
        <v>1469</v>
      </c>
      <c r="C820" t="s">
        <v>2588</v>
      </c>
      <c r="D820" s="1">
        <v>46213</v>
      </c>
      <c r="E820" s="1">
        <v>46243</v>
      </c>
      <c r="F820">
        <v>144024.66</v>
      </c>
      <c r="G820" t="s">
        <v>2562</v>
      </c>
      <c r="H820">
        <v>144024.66</v>
      </c>
      <c r="I820">
        <v>0</v>
      </c>
      <c r="J820">
        <v>22</v>
      </c>
      <c r="K820" t="s">
        <v>2558</v>
      </c>
    </row>
    <row r="821" spans="1:11">
      <c r="A821" t="s">
        <v>2655</v>
      </c>
      <c r="B821" t="s">
        <v>1471</v>
      </c>
      <c r="C821" t="s">
        <v>2623</v>
      </c>
      <c r="D821" s="1">
        <v>46217</v>
      </c>
      <c r="E821" s="1">
        <v>46247</v>
      </c>
      <c r="F821">
        <v>82263.47</v>
      </c>
      <c r="G821" t="s">
        <v>2562</v>
      </c>
      <c r="H821">
        <v>82263.47</v>
      </c>
      <c r="I821">
        <v>0</v>
      </c>
      <c r="J821">
        <v>18</v>
      </c>
      <c r="K821" t="s">
        <v>2558</v>
      </c>
    </row>
    <row r="822" spans="1:11">
      <c r="A822" t="s">
        <v>2631</v>
      </c>
      <c r="B822" t="s">
        <v>2300</v>
      </c>
      <c r="C822" t="s">
        <v>2597</v>
      </c>
      <c r="D822" s="1">
        <v>46182</v>
      </c>
      <c r="E822" s="1">
        <v>46227</v>
      </c>
      <c r="F822">
        <v>59236.95</v>
      </c>
      <c r="G822" t="s">
        <v>2574</v>
      </c>
      <c r="H822">
        <v>59236.95</v>
      </c>
      <c r="I822">
        <v>0</v>
      </c>
      <c r="J822">
        <v>38</v>
      </c>
      <c r="K822" t="s">
        <v>2558</v>
      </c>
    </row>
    <row r="823" spans="1:11">
      <c r="A823" t="s">
        <v>2631</v>
      </c>
      <c r="B823" t="s">
        <v>2398</v>
      </c>
      <c r="C823" t="s">
        <v>2583</v>
      </c>
      <c r="D823" s="1">
        <v>46182</v>
      </c>
      <c r="E823" s="1">
        <v>46242</v>
      </c>
      <c r="F823">
        <v>162068.39000000001</v>
      </c>
      <c r="G823" t="s">
        <v>2562</v>
      </c>
      <c r="H823">
        <v>162068.39000000001</v>
      </c>
      <c r="I823">
        <v>0</v>
      </c>
      <c r="J823">
        <v>23</v>
      </c>
      <c r="K823" t="s">
        <v>2558</v>
      </c>
    </row>
    <row r="824" spans="1:11">
      <c r="A824" t="s">
        <v>2631</v>
      </c>
      <c r="B824" t="s">
        <v>2666</v>
      </c>
      <c r="C824" t="s">
        <v>2600</v>
      </c>
      <c r="D824" s="1">
        <v>46182</v>
      </c>
      <c r="E824" s="1">
        <v>46212</v>
      </c>
      <c r="F824">
        <v>87907.7</v>
      </c>
      <c r="G824" t="s">
        <v>2568</v>
      </c>
      <c r="I824">
        <v>87907.7</v>
      </c>
      <c r="J824">
        <v>53</v>
      </c>
      <c r="K824" t="s">
        <v>2636</v>
      </c>
    </row>
    <row r="825" spans="1:11">
      <c r="A825" t="s">
        <v>2631</v>
      </c>
      <c r="B825" t="s">
        <v>2302</v>
      </c>
      <c r="C825" t="s">
        <v>2582</v>
      </c>
      <c r="D825" s="1">
        <v>46182</v>
      </c>
      <c r="E825" s="1">
        <v>46212</v>
      </c>
      <c r="F825">
        <v>453908.08</v>
      </c>
      <c r="G825" t="s">
        <v>2557</v>
      </c>
      <c r="H825">
        <v>327092.28999999998</v>
      </c>
      <c r="I825">
        <v>126815.79</v>
      </c>
      <c r="J825">
        <v>53</v>
      </c>
      <c r="K825" t="s">
        <v>2636</v>
      </c>
    </row>
    <row r="826" spans="1:11">
      <c r="A826" t="s">
        <v>2631</v>
      </c>
      <c r="B826" t="s">
        <v>1481</v>
      </c>
      <c r="C826" t="s">
        <v>2570</v>
      </c>
      <c r="D826" s="1">
        <v>46184</v>
      </c>
      <c r="E826" s="1">
        <v>46214</v>
      </c>
      <c r="F826">
        <v>475104.7</v>
      </c>
      <c r="G826" t="s">
        <v>2557</v>
      </c>
      <c r="H826">
        <v>475104.7</v>
      </c>
      <c r="I826">
        <v>0</v>
      </c>
      <c r="J826">
        <v>51</v>
      </c>
      <c r="K826" t="s">
        <v>2558</v>
      </c>
    </row>
    <row r="827" spans="1:11">
      <c r="A827" t="s">
        <v>2631</v>
      </c>
      <c r="B827" t="s">
        <v>1481</v>
      </c>
      <c r="C827" t="s">
        <v>2570</v>
      </c>
      <c r="D827" s="1">
        <v>46184</v>
      </c>
      <c r="E827" s="1">
        <v>46214</v>
      </c>
      <c r="F827">
        <v>475104.7</v>
      </c>
      <c r="G827" t="s">
        <v>2557</v>
      </c>
      <c r="H827">
        <v>475104.7</v>
      </c>
      <c r="I827">
        <v>0</v>
      </c>
      <c r="J827">
        <v>51</v>
      </c>
      <c r="K827" t="s">
        <v>2558</v>
      </c>
    </row>
    <row r="828" spans="1:11">
      <c r="A828" t="s">
        <v>2631</v>
      </c>
      <c r="B828" t="s">
        <v>1483</v>
      </c>
      <c r="C828" t="s">
        <v>2610</v>
      </c>
      <c r="D828" s="1">
        <v>46186</v>
      </c>
      <c r="E828" s="1">
        <v>46246</v>
      </c>
      <c r="F828">
        <v>147066.21</v>
      </c>
      <c r="G828" t="s">
        <v>2574</v>
      </c>
      <c r="H828">
        <v>147066.21</v>
      </c>
      <c r="I828">
        <v>0</v>
      </c>
      <c r="J828">
        <v>19</v>
      </c>
      <c r="K828" t="s">
        <v>2558</v>
      </c>
    </row>
    <row r="829" spans="1:11">
      <c r="A829" t="s">
        <v>2631</v>
      </c>
      <c r="B829" t="s">
        <v>1515</v>
      </c>
      <c r="C829" t="s">
        <v>2567</v>
      </c>
      <c r="D829" s="1">
        <v>46182</v>
      </c>
      <c r="E829" s="1">
        <v>46227</v>
      </c>
      <c r="F829">
        <v>925819.57</v>
      </c>
      <c r="G829" t="s">
        <v>2568</v>
      </c>
      <c r="H829">
        <v>925819.57</v>
      </c>
      <c r="I829">
        <v>0</v>
      </c>
      <c r="J829">
        <v>38</v>
      </c>
      <c r="K829" t="s">
        <v>2558</v>
      </c>
    </row>
    <row r="830" spans="1:11">
      <c r="A830" t="s">
        <v>2631</v>
      </c>
      <c r="B830" t="s">
        <v>1485</v>
      </c>
      <c r="C830" t="s">
        <v>2592</v>
      </c>
      <c r="D830" s="1">
        <v>46198</v>
      </c>
      <c r="E830" s="1">
        <v>46228</v>
      </c>
      <c r="F830">
        <v>55490.65</v>
      </c>
      <c r="G830" t="s">
        <v>2562</v>
      </c>
      <c r="H830">
        <v>55490.65</v>
      </c>
      <c r="I830">
        <v>0</v>
      </c>
      <c r="J830">
        <v>37</v>
      </c>
      <c r="K830" t="s">
        <v>2558</v>
      </c>
    </row>
    <row r="831" spans="1:11">
      <c r="A831" t="s">
        <v>2631</v>
      </c>
      <c r="B831" t="s">
        <v>2354</v>
      </c>
      <c r="C831" t="s">
        <v>2572</v>
      </c>
      <c r="D831" s="1">
        <v>46182</v>
      </c>
      <c r="E831" s="1">
        <v>46197</v>
      </c>
      <c r="F831">
        <v>16616.78</v>
      </c>
      <c r="G831" t="s">
        <v>2557</v>
      </c>
      <c r="H831">
        <v>16616.78</v>
      </c>
      <c r="I831">
        <v>0</v>
      </c>
      <c r="J831">
        <v>68</v>
      </c>
      <c r="K831" t="s">
        <v>2558</v>
      </c>
    </row>
    <row r="832" spans="1:11">
      <c r="A832" t="s">
        <v>2631</v>
      </c>
      <c r="B832" t="s">
        <v>1487</v>
      </c>
      <c r="C832" t="s">
        <v>2601</v>
      </c>
      <c r="D832" s="1">
        <v>46199</v>
      </c>
      <c r="E832" s="1">
        <v>46229</v>
      </c>
      <c r="F832">
        <v>166906.65</v>
      </c>
      <c r="G832" t="s">
        <v>2574</v>
      </c>
      <c r="H832">
        <v>166906.65</v>
      </c>
      <c r="I832">
        <v>0</v>
      </c>
      <c r="J832">
        <v>36</v>
      </c>
      <c r="K832" t="s">
        <v>2558</v>
      </c>
    </row>
    <row r="833" spans="1:11">
      <c r="A833" t="s">
        <v>2655</v>
      </c>
      <c r="B833" t="s">
        <v>1489</v>
      </c>
      <c r="C833" t="s">
        <v>2612</v>
      </c>
      <c r="D833" s="1">
        <v>46211</v>
      </c>
      <c r="E833" s="1">
        <v>46241</v>
      </c>
      <c r="F833">
        <v>76109.58</v>
      </c>
      <c r="G833" t="s">
        <v>2566</v>
      </c>
      <c r="H833">
        <v>76109.58</v>
      </c>
      <c r="I833">
        <v>0</v>
      </c>
      <c r="J833">
        <v>24</v>
      </c>
      <c r="K833" t="s">
        <v>2558</v>
      </c>
    </row>
    <row r="834" spans="1:11">
      <c r="A834" t="s">
        <v>2655</v>
      </c>
      <c r="B834" t="s">
        <v>1491</v>
      </c>
      <c r="C834" t="s">
        <v>2579</v>
      </c>
      <c r="D834" s="1">
        <v>46213</v>
      </c>
      <c r="E834" s="1">
        <v>46243</v>
      </c>
      <c r="F834">
        <v>1108504.67</v>
      </c>
      <c r="G834" t="s">
        <v>2557</v>
      </c>
      <c r="H834">
        <v>1108504.67</v>
      </c>
      <c r="I834">
        <v>0</v>
      </c>
      <c r="J834">
        <v>22</v>
      </c>
      <c r="K834" t="s">
        <v>2558</v>
      </c>
    </row>
    <row r="835" spans="1:11">
      <c r="A835" t="s">
        <v>2631</v>
      </c>
      <c r="B835" t="s">
        <v>2667</v>
      </c>
      <c r="C835" t="s">
        <v>2668</v>
      </c>
      <c r="D835" s="1">
        <v>46183</v>
      </c>
      <c r="E835" s="1">
        <v>46213</v>
      </c>
      <c r="F835">
        <v>1342415.82</v>
      </c>
      <c r="G835" t="s">
        <v>2562</v>
      </c>
      <c r="I835">
        <v>1342415.82</v>
      </c>
      <c r="J835">
        <v>52</v>
      </c>
      <c r="K835" t="s">
        <v>2636</v>
      </c>
    </row>
    <row r="836" spans="1:11">
      <c r="A836" t="s">
        <v>2655</v>
      </c>
      <c r="B836" t="s">
        <v>1494</v>
      </c>
      <c r="C836" t="s">
        <v>2602</v>
      </c>
      <c r="D836" s="1">
        <v>46220</v>
      </c>
      <c r="E836" s="1">
        <v>46280</v>
      </c>
      <c r="F836">
        <v>150942.16</v>
      </c>
      <c r="G836" t="s">
        <v>2562</v>
      </c>
      <c r="H836">
        <v>62626.98</v>
      </c>
      <c r="I836">
        <v>88315.18</v>
      </c>
      <c r="J836">
        <v>-15</v>
      </c>
      <c r="K836" t="s">
        <v>2669</v>
      </c>
    </row>
    <row r="837" spans="1:11">
      <c r="A837" t="s">
        <v>2631</v>
      </c>
      <c r="B837" t="s">
        <v>1661</v>
      </c>
      <c r="C837" t="s">
        <v>2576</v>
      </c>
      <c r="D837" s="1">
        <v>46183</v>
      </c>
      <c r="E837" s="1">
        <v>46228</v>
      </c>
      <c r="F837">
        <v>203671.71</v>
      </c>
      <c r="G837" t="s">
        <v>2566</v>
      </c>
      <c r="H837">
        <v>203671.71</v>
      </c>
      <c r="I837">
        <v>0</v>
      </c>
      <c r="J837">
        <v>37</v>
      </c>
      <c r="K837" t="s">
        <v>2558</v>
      </c>
    </row>
    <row r="838" spans="1:11">
      <c r="A838" t="s">
        <v>2655</v>
      </c>
      <c r="B838" t="s">
        <v>1496</v>
      </c>
      <c r="C838" t="s">
        <v>2579</v>
      </c>
      <c r="D838" s="1">
        <v>46222</v>
      </c>
      <c r="E838" s="1">
        <v>46252</v>
      </c>
      <c r="F838">
        <v>505604.79</v>
      </c>
      <c r="G838" t="s">
        <v>2557</v>
      </c>
      <c r="H838">
        <v>505604.79</v>
      </c>
      <c r="I838">
        <v>0</v>
      </c>
      <c r="J838">
        <v>13</v>
      </c>
      <c r="K838" t="s">
        <v>2558</v>
      </c>
    </row>
    <row r="839" spans="1:11">
      <c r="A839" t="s">
        <v>2655</v>
      </c>
      <c r="B839" t="s">
        <v>1498</v>
      </c>
      <c r="C839" t="s">
        <v>2588</v>
      </c>
      <c r="D839" s="1">
        <v>46225</v>
      </c>
      <c r="E839" s="1">
        <v>46255</v>
      </c>
      <c r="F839">
        <v>422412.48</v>
      </c>
      <c r="G839" t="s">
        <v>2562</v>
      </c>
      <c r="H839">
        <v>422412.48</v>
      </c>
      <c r="I839">
        <v>0</v>
      </c>
      <c r="J839">
        <v>10</v>
      </c>
      <c r="K839" t="s">
        <v>2558</v>
      </c>
    </row>
    <row r="840" spans="1:11">
      <c r="A840" t="s">
        <v>2655</v>
      </c>
      <c r="B840" t="s">
        <v>1501</v>
      </c>
      <c r="C840" t="s">
        <v>2612</v>
      </c>
      <c r="D840" s="1">
        <v>46226</v>
      </c>
      <c r="E840" s="1">
        <v>46256</v>
      </c>
      <c r="F840">
        <v>36050.699999999997</v>
      </c>
      <c r="G840" t="s">
        <v>2566</v>
      </c>
      <c r="H840">
        <v>16353.43</v>
      </c>
      <c r="I840">
        <v>19697.27</v>
      </c>
      <c r="J840">
        <v>9</v>
      </c>
      <c r="K840" t="s">
        <v>2647</v>
      </c>
    </row>
    <row r="841" spans="1:11">
      <c r="A841" t="s">
        <v>2655</v>
      </c>
      <c r="B841" t="s">
        <v>1503</v>
      </c>
      <c r="C841" t="s">
        <v>2559</v>
      </c>
      <c r="D841" s="1">
        <v>46228</v>
      </c>
      <c r="E841" s="1">
        <v>46243</v>
      </c>
      <c r="F841">
        <v>48466.02</v>
      </c>
      <c r="G841" t="s">
        <v>2560</v>
      </c>
      <c r="H841">
        <v>48466.02</v>
      </c>
      <c r="I841">
        <v>0</v>
      </c>
      <c r="J841">
        <v>22</v>
      </c>
      <c r="K841" t="s">
        <v>2558</v>
      </c>
    </row>
    <row r="842" spans="1:11">
      <c r="A842" t="s">
        <v>2655</v>
      </c>
      <c r="B842" t="s">
        <v>1505</v>
      </c>
      <c r="C842" t="s">
        <v>2616</v>
      </c>
      <c r="D842" s="1">
        <v>46229</v>
      </c>
      <c r="E842" s="1">
        <v>46244</v>
      </c>
      <c r="F842">
        <v>12513.11</v>
      </c>
      <c r="G842" t="s">
        <v>2560</v>
      </c>
      <c r="H842">
        <v>12513.11</v>
      </c>
      <c r="I842">
        <v>0</v>
      </c>
      <c r="J842">
        <v>21</v>
      </c>
      <c r="K842" t="s">
        <v>2558</v>
      </c>
    </row>
    <row r="843" spans="1:11">
      <c r="A843" t="s">
        <v>2631</v>
      </c>
      <c r="B843" t="s">
        <v>1943</v>
      </c>
      <c r="C843" t="s">
        <v>2579</v>
      </c>
      <c r="D843" s="1">
        <v>46183</v>
      </c>
      <c r="E843" s="1">
        <v>46213</v>
      </c>
      <c r="F843">
        <v>798147.48</v>
      </c>
      <c r="G843" t="s">
        <v>2557</v>
      </c>
      <c r="H843">
        <v>798147.48</v>
      </c>
      <c r="I843">
        <v>0</v>
      </c>
      <c r="J843">
        <v>52</v>
      </c>
      <c r="K843" t="s">
        <v>2558</v>
      </c>
    </row>
    <row r="844" spans="1:11">
      <c r="A844" t="s">
        <v>2655</v>
      </c>
      <c r="B844" t="s">
        <v>1507</v>
      </c>
      <c r="C844" t="s">
        <v>2611</v>
      </c>
      <c r="D844" s="1">
        <v>46229</v>
      </c>
      <c r="E844" s="1">
        <v>46274</v>
      </c>
      <c r="F844">
        <v>2000000</v>
      </c>
      <c r="G844" t="s">
        <v>2566</v>
      </c>
      <c r="H844">
        <v>2000000</v>
      </c>
      <c r="I844">
        <v>0</v>
      </c>
      <c r="J844">
        <v>-9</v>
      </c>
      <c r="K844" t="s">
        <v>2558</v>
      </c>
    </row>
    <row r="845" spans="1:11">
      <c r="A845" t="s">
        <v>2655</v>
      </c>
      <c r="B845" t="s">
        <v>1509</v>
      </c>
      <c r="C845" t="s">
        <v>2595</v>
      </c>
      <c r="D845" s="1">
        <v>46230</v>
      </c>
      <c r="E845" s="1">
        <v>46260</v>
      </c>
      <c r="F845">
        <v>61511.81</v>
      </c>
      <c r="G845" t="s">
        <v>2568</v>
      </c>
      <c r="H845">
        <v>61511.81</v>
      </c>
      <c r="I845">
        <v>0</v>
      </c>
      <c r="J845">
        <v>5</v>
      </c>
      <c r="K845" t="s">
        <v>2558</v>
      </c>
    </row>
    <row r="846" spans="1:11">
      <c r="A846" t="s">
        <v>2631</v>
      </c>
      <c r="B846" t="s">
        <v>1984</v>
      </c>
      <c r="C846" t="s">
        <v>2561</v>
      </c>
      <c r="D846" s="1">
        <v>46183</v>
      </c>
      <c r="E846" s="1">
        <v>46228</v>
      </c>
      <c r="F846">
        <v>355310.28</v>
      </c>
      <c r="G846" t="s">
        <v>2562</v>
      </c>
      <c r="H846">
        <v>223451.12</v>
      </c>
      <c r="I846">
        <v>131859.16</v>
      </c>
      <c r="J846">
        <v>37</v>
      </c>
      <c r="K846" t="s">
        <v>2636</v>
      </c>
    </row>
    <row r="847" spans="1:11">
      <c r="A847" t="s">
        <v>2631</v>
      </c>
      <c r="B847" t="s">
        <v>1842</v>
      </c>
      <c r="C847" t="s">
        <v>2569</v>
      </c>
      <c r="D847" s="1">
        <v>46183</v>
      </c>
      <c r="E847" s="1">
        <v>46198</v>
      </c>
      <c r="F847">
        <v>36516.839999999997</v>
      </c>
      <c r="G847" t="s">
        <v>2557</v>
      </c>
      <c r="H847">
        <v>36516.839999999997</v>
      </c>
      <c r="I847">
        <v>0</v>
      </c>
      <c r="J847">
        <v>67</v>
      </c>
      <c r="K847" t="s">
        <v>2558</v>
      </c>
    </row>
    <row r="848" spans="1:11">
      <c r="A848" t="s">
        <v>2631</v>
      </c>
      <c r="B848" t="s">
        <v>1517</v>
      </c>
      <c r="C848" t="s">
        <v>2593</v>
      </c>
      <c r="D848" s="1">
        <v>46188</v>
      </c>
      <c r="E848" s="1">
        <v>46218</v>
      </c>
      <c r="F848">
        <v>44602.14</v>
      </c>
      <c r="G848" t="s">
        <v>2574</v>
      </c>
      <c r="H848">
        <v>44602.14</v>
      </c>
      <c r="I848">
        <v>0</v>
      </c>
      <c r="J848">
        <v>47</v>
      </c>
      <c r="K848" t="s">
        <v>2558</v>
      </c>
    </row>
    <row r="849" spans="1:11">
      <c r="A849" t="s">
        <v>2631</v>
      </c>
      <c r="B849" t="s">
        <v>1519</v>
      </c>
      <c r="C849" t="s">
        <v>2620</v>
      </c>
      <c r="D849" s="1">
        <v>46196</v>
      </c>
      <c r="E849" s="1">
        <v>46226</v>
      </c>
      <c r="F849">
        <v>543091.56999999995</v>
      </c>
      <c r="G849" t="s">
        <v>2568</v>
      </c>
      <c r="H849">
        <v>543091.56999999995</v>
      </c>
      <c r="I849">
        <v>0</v>
      </c>
      <c r="J849">
        <v>39</v>
      </c>
      <c r="K849" t="s">
        <v>2558</v>
      </c>
    </row>
    <row r="850" spans="1:11">
      <c r="A850" t="s">
        <v>2631</v>
      </c>
      <c r="B850" t="s">
        <v>1821</v>
      </c>
      <c r="C850" t="s">
        <v>2603</v>
      </c>
      <c r="D850" s="1">
        <v>46184</v>
      </c>
      <c r="E850" s="1">
        <v>46214</v>
      </c>
      <c r="F850">
        <v>16167.82</v>
      </c>
      <c r="G850" t="s">
        <v>2557</v>
      </c>
      <c r="H850">
        <v>16167.82</v>
      </c>
      <c r="I850">
        <v>0</v>
      </c>
      <c r="J850">
        <v>51</v>
      </c>
      <c r="K850" t="s">
        <v>2558</v>
      </c>
    </row>
    <row r="851" spans="1:11">
      <c r="A851" t="s">
        <v>2631</v>
      </c>
      <c r="B851" t="s">
        <v>1521</v>
      </c>
      <c r="C851" t="s">
        <v>2587</v>
      </c>
      <c r="D851" s="1">
        <v>46196</v>
      </c>
      <c r="E851" s="1">
        <v>46256</v>
      </c>
      <c r="F851">
        <v>136817.41</v>
      </c>
      <c r="G851" t="s">
        <v>2568</v>
      </c>
      <c r="H851">
        <v>136817.41</v>
      </c>
      <c r="I851">
        <v>0</v>
      </c>
      <c r="J851">
        <v>9</v>
      </c>
      <c r="K851" t="s">
        <v>2558</v>
      </c>
    </row>
    <row r="852" spans="1:11">
      <c r="A852" t="s">
        <v>2655</v>
      </c>
      <c r="B852" t="s">
        <v>1523</v>
      </c>
      <c r="C852" t="s">
        <v>2561</v>
      </c>
      <c r="D852" s="1">
        <v>46204</v>
      </c>
      <c r="E852" s="1">
        <v>46249</v>
      </c>
      <c r="F852">
        <v>196692.9</v>
      </c>
      <c r="G852" t="s">
        <v>2562</v>
      </c>
      <c r="H852">
        <v>196692.9</v>
      </c>
      <c r="I852">
        <v>0</v>
      </c>
      <c r="J852">
        <v>16</v>
      </c>
      <c r="K852" t="s">
        <v>2558</v>
      </c>
    </row>
    <row r="853" spans="1:11">
      <c r="A853" t="s">
        <v>2631</v>
      </c>
      <c r="B853" t="s">
        <v>2429</v>
      </c>
      <c r="C853" t="s">
        <v>2561</v>
      </c>
      <c r="D853" s="1">
        <v>46184</v>
      </c>
      <c r="E853" s="1">
        <v>46229</v>
      </c>
      <c r="F853">
        <v>1205777.1200000001</v>
      </c>
      <c r="G853" t="s">
        <v>2562</v>
      </c>
      <c r="H853">
        <v>1205777.1200000001</v>
      </c>
      <c r="I853">
        <v>0</v>
      </c>
      <c r="J853">
        <v>36</v>
      </c>
      <c r="K853" t="s">
        <v>2558</v>
      </c>
    </row>
    <row r="854" spans="1:11">
      <c r="A854" t="s">
        <v>2655</v>
      </c>
      <c r="B854" t="s">
        <v>1525</v>
      </c>
      <c r="C854" t="s">
        <v>2640</v>
      </c>
      <c r="D854" s="1">
        <v>46206</v>
      </c>
      <c r="E854" s="1">
        <v>46266</v>
      </c>
      <c r="F854">
        <v>318673.98</v>
      </c>
      <c r="G854" t="s">
        <v>2560</v>
      </c>
      <c r="H854">
        <v>109530.44</v>
      </c>
      <c r="I854">
        <v>209143.54</v>
      </c>
      <c r="J854">
        <v>-1</v>
      </c>
      <c r="K854" t="s">
        <v>2669</v>
      </c>
    </row>
    <row r="855" spans="1:11">
      <c r="A855" t="s">
        <v>2655</v>
      </c>
      <c r="B855" t="s">
        <v>1527</v>
      </c>
      <c r="C855" t="s">
        <v>2593</v>
      </c>
      <c r="D855" s="1">
        <v>46206</v>
      </c>
      <c r="E855" s="1">
        <v>46236</v>
      </c>
      <c r="F855">
        <v>68933.03</v>
      </c>
      <c r="G855" t="s">
        <v>2574</v>
      </c>
      <c r="H855">
        <v>68933.03</v>
      </c>
      <c r="I855">
        <v>0</v>
      </c>
      <c r="J855">
        <v>29</v>
      </c>
      <c r="K855" t="s">
        <v>2558</v>
      </c>
    </row>
    <row r="856" spans="1:11">
      <c r="A856" t="s">
        <v>2655</v>
      </c>
      <c r="B856" t="s">
        <v>1529</v>
      </c>
      <c r="C856" t="s">
        <v>2573</v>
      </c>
      <c r="D856" s="1">
        <v>46212</v>
      </c>
      <c r="E856" s="1">
        <v>46242</v>
      </c>
      <c r="F856">
        <v>117683.1</v>
      </c>
      <c r="G856" t="s">
        <v>2574</v>
      </c>
      <c r="H856">
        <v>117683.1</v>
      </c>
      <c r="I856">
        <v>0</v>
      </c>
      <c r="J856">
        <v>23</v>
      </c>
      <c r="K856" t="s">
        <v>2558</v>
      </c>
    </row>
    <row r="857" spans="1:11">
      <c r="A857" t="s">
        <v>2655</v>
      </c>
      <c r="B857" t="s">
        <v>1531</v>
      </c>
      <c r="C857" t="s">
        <v>2611</v>
      </c>
      <c r="D857" s="1">
        <v>46213</v>
      </c>
      <c r="E857" s="1">
        <v>46258</v>
      </c>
      <c r="F857">
        <v>213119.32</v>
      </c>
      <c r="G857" t="s">
        <v>2566</v>
      </c>
      <c r="H857">
        <v>213119.32</v>
      </c>
      <c r="I857">
        <v>0</v>
      </c>
      <c r="J857">
        <v>7</v>
      </c>
      <c r="K857" t="s">
        <v>2558</v>
      </c>
    </row>
    <row r="858" spans="1:11">
      <c r="A858" t="s">
        <v>2631</v>
      </c>
      <c r="B858" t="s">
        <v>1590</v>
      </c>
      <c r="C858" t="s">
        <v>2612</v>
      </c>
      <c r="D858" s="1">
        <v>46184</v>
      </c>
      <c r="E858" s="1">
        <v>46214</v>
      </c>
      <c r="F858">
        <v>71287.520000000004</v>
      </c>
      <c r="G858" t="s">
        <v>2566</v>
      </c>
      <c r="H858">
        <v>39700.75</v>
      </c>
      <c r="I858">
        <v>31586.77</v>
      </c>
      <c r="J858">
        <v>51</v>
      </c>
      <c r="K858" t="s">
        <v>2636</v>
      </c>
    </row>
    <row r="859" spans="1:11">
      <c r="A859" t="s">
        <v>2655</v>
      </c>
      <c r="B859" t="s">
        <v>1534</v>
      </c>
      <c r="C859" t="s">
        <v>2573</v>
      </c>
      <c r="D859" s="1">
        <v>46214</v>
      </c>
      <c r="E859" s="1">
        <v>46244</v>
      </c>
      <c r="F859">
        <v>70200.52</v>
      </c>
      <c r="G859" t="s">
        <v>2574</v>
      </c>
      <c r="H859">
        <v>70200.52</v>
      </c>
      <c r="I859">
        <v>0</v>
      </c>
      <c r="J859">
        <v>21</v>
      </c>
      <c r="K859" t="s">
        <v>2558</v>
      </c>
    </row>
    <row r="860" spans="1:11">
      <c r="A860" t="s">
        <v>2631</v>
      </c>
      <c r="B860" t="s">
        <v>2029</v>
      </c>
      <c r="C860" t="s">
        <v>2620</v>
      </c>
      <c r="D860" s="1">
        <v>46185</v>
      </c>
      <c r="E860" s="1">
        <v>46215</v>
      </c>
      <c r="F860">
        <v>74308.78</v>
      </c>
      <c r="G860" t="s">
        <v>2568</v>
      </c>
      <c r="H860">
        <v>74308.78</v>
      </c>
      <c r="I860">
        <v>0</v>
      </c>
      <c r="J860">
        <v>50</v>
      </c>
      <c r="K860" t="s">
        <v>2558</v>
      </c>
    </row>
    <row r="861" spans="1:11">
      <c r="A861" t="s">
        <v>2655</v>
      </c>
      <c r="B861" t="s">
        <v>1536</v>
      </c>
      <c r="C861" t="s">
        <v>2600</v>
      </c>
      <c r="D861" s="1">
        <v>46215</v>
      </c>
      <c r="E861" s="1">
        <v>46245</v>
      </c>
      <c r="F861">
        <v>91988.77</v>
      </c>
      <c r="G861" t="s">
        <v>2568</v>
      </c>
      <c r="H861">
        <v>91988.77</v>
      </c>
      <c r="I861">
        <v>0</v>
      </c>
      <c r="J861">
        <v>20</v>
      </c>
      <c r="K861" t="s">
        <v>2558</v>
      </c>
    </row>
    <row r="862" spans="1:11">
      <c r="A862" t="s">
        <v>2655</v>
      </c>
      <c r="B862" t="s">
        <v>1538</v>
      </c>
      <c r="C862" t="s">
        <v>2613</v>
      </c>
      <c r="D862" s="1">
        <v>46218</v>
      </c>
      <c r="E862" s="1">
        <v>46278</v>
      </c>
      <c r="F862">
        <v>38995.449999999997</v>
      </c>
      <c r="G862" t="s">
        <v>2560</v>
      </c>
      <c r="H862">
        <v>38995.449999999997</v>
      </c>
      <c r="I862">
        <v>0</v>
      </c>
      <c r="J862">
        <v>-13</v>
      </c>
      <c r="K862" t="s">
        <v>2558</v>
      </c>
    </row>
    <row r="863" spans="1:11">
      <c r="A863" t="s">
        <v>2631</v>
      </c>
      <c r="B863" t="s">
        <v>2119</v>
      </c>
      <c r="C863" t="s">
        <v>2576</v>
      </c>
      <c r="D863" s="1">
        <v>46185</v>
      </c>
      <c r="E863" s="1">
        <v>46230</v>
      </c>
      <c r="F863">
        <v>173685.65</v>
      </c>
      <c r="G863" t="s">
        <v>2566</v>
      </c>
      <c r="H863">
        <v>173685.65</v>
      </c>
      <c r="I863">
        <v>0</v>
      </c>
      <c r="J863">
        <v>35</v>
      </c>
      <c r="K863" t="s">
        <v>2558</v>
      </c>
    </row>
    <row r="864" spans="1:11">
      <c r="A864" t="s">
        <v>2655</v>
      </c>
      <c r="B864" t="s">
        <v>1540</v>
      </c>
      <c r="C864" t="s">
        <v>2603</v>
      </c>
      <c r="D864" s="1">
        <v>46220</v>
      </c>
      <c r="E864" s="1">
        <v>46250</v>
      </c>
      <c r="F864">
        <v>34050.800000000003</v>
      </c>
      <c r="G864" t="s">
        <v>2557</v>
      </c>
      <c r="H864">
        <v>34050.800000000003</v>
      </c>
      <c r="I864">
        <v>0</v>
      </c>
      <c r="J864">
        <v>15</v>
      </c>
      <c r="K864" t="s">
        <v>2558</v>
      </c>
    </row>
    <row r="865" spans="1:11">
      <c r="A865" t="s">
        <v>2631</v>
      </c>
      <c r="B865" t="s">
        <v>1776</v>
      </c>
      <c r="C865" t="s">
        <v>2604</v>
      </c>
      <c r="D865" s="1">
        <v>46185</v>
      </c>
      <c r="E865" s="1">
        <v>46230</v>
      </c>
      <c r="F865">
        <v>42748.62</v>
      </c>
      <c r="G865" t="s">
        <v>2562</v>
      </c>
      <c r="H865">
        <v>42748.62</v>
      </c>
      <c r="I865">
        <v>0</v>
      </c>
      <c r="J865">
        <v>35</v>
      </c>
      <c r="K865" t="s">
        <v>2558</v>
      </c>
    </row>
    <row r="866" spans="1:11">
      <c r="A866" t="s">
        <v>2655</v>
      </c>
      <c r="B866" t="s">
        <v>1542</v>
      </c>
      <c r="C866" t="s">
        <v>2579</v>
      </c>
      <c r="D866" s="1">
        <v>46224</v>
      </c>
      <c r="E866" s="1">
        <v>46254</v>
      </c>
      <c r="F866">
        <v>565680.36</v>
      </c>
      <c r="G866" t="s">
        <v>2557</v>
      </c>
      <c r="H866">
        <v>565680.36</v>
      </c>
      <c r="I866">
        <v>0</v>
      </c>
      <c r="J866">
        <v>11</v>
      </c>
      <c r="K866" t="s">
        <v>2558</v>
      </c>
    </row>
    <row r="867" spans="1:11">
      <c r="A867" t="s">
        <v>2631</v>
      </c>
      <c r="B867" t="s">
        <v>2064</v>
      </c>
      <c r="C867" t="s">
        <v>2589</v>
      </c>
      <c r="D867" s="1">
        <v>46185</v>
      </c>
      <c r="E867" s="1">
        <v>46215</v>
      </c>
      <c r="F867">
        <v>48048.92</v>
      </c>
      <c r="G867" t="s">
        <v>2568</v>
      </c>
      <c r="H867">
        <v>48048.92</v>
      </c>
      <c r="I867">
        <v>0</v>
      </c>
      <c r="J867">
        <v>50</v>
      </c>
      <c r="K867" t="s">
        <v>2558</v>
      </c>
    </row>
    <row r="868" spans="1:11">
      <c r="A868" t="s">
        <v>2655</v>
      </c>
      <c r="B868" t="s">
        <v>1544</v>
      </c>
      <c r="C868" t="s">
        <v>2575</v>
      </c>
      <c r="D868" s="1">
        <v>46230</v>
      </c>
      <c r="E868" s="1">
        <v>46245</v>
      </c>
      <c r="F868">
        <v>22528.71</v>
      </c>
      <c r="G868" t="s">
        <v>2574</v>
      </c>
      <c r="H868">
        <v>22528.71</v>
      </c>
      <c r="I868">
        <v>0</v>
      </c>
      <c r="J868">
        <v>20</v>
      </c>
      <c r="K868" t="s">
        <v>2558</v>
      </c>
    </row>
    <row r="869" spans="1:11">
      <c r="A869" t="s">
        <v>2631</v>
      </c>
      <c r="B869" t="s">
        <v>2356</v>
      </c>
      <c r="C869" t="s">
        <v>2594</v>
      </c>
      <c r="D869" s="1">
        <v>46185</v>
      </c>
      <c r="E869" s="1">
        <v>46215</v>
      </c>
      <c r="F869">
        <v>166981.01</v>
      </c>
      <c r="G869" t="s">
        <v>2557</v>
      </c>
      <c r="H869">
        <v>166981.01</v>
      </c>
      <c r="I869">
        <v>0</v>
      </c>
      <c r="J869">
        <v>50</v>
      </c>
      <c r="K869" t="s">
        <v>2558</v>
      </c>
    </row>
    <row r="870" spans="1:11">
      <c r="A870" t="s">
        <v>2655</v>
      </c>
      <c r="B870" t="s">
        <v>1546</v>
      </c>
      <c r="C870" t="s">
        <v>2569</v>
      </c>
      <c r="D870" s="1">
        <v>46231</v>
      </c>
      <c r="E870" s="1">
        <v>46246</v>
      </c>
      <c r="F870">
        <v>29270.080000000002</v>
      </c>
      <c r="G870" t="s">
        <v>2557</v>
      </c>
      <c r="H870">
        <v>29270.080000000002</v>
      </c>
      <c r="I870">
        <v>0</v>
      </c>
      <c r="J870">
        <v>19</v>
      </c>
      <c r="K870" t="s">
        <v>2558</v>
      </c>
    </row>
    <row r="871" spans="1:11">
      <c r="A871" t="s">
        <v>2631</v>
      </c>
      <c r="B871" t="s">
        <v>2066</v>
      </c>
      <c r="C871" t="s">
        <v>2611</v>
      </c>
      <c r="D871" s="1">
        <v>46186</v>
      </c>
      <c r="E871" s="1">
        <v>46231</v>
      </c>
      <c r="F871">
        <v>562515.16</v>
      </c>
      <c r="G871" t="s">
        <v>2566</v>
      </c>
      <c r="H871">
        <v>562515.16</v>
      </c>
      <c r="I871">
        <v>0</v>
      </c>
      <c r="J871">
        <v>34</v>
      </c>
      <c r="K871" t="s">
        <v>2558</v>
      </c>
    </row>
    <row r="872" spans="1:11">
      <c r="A872" t="s">
        <v>2631</v>
      </c>
      <c r="B872" t="s">
        <v>2031</v>
      </c>
      <c r="C872" t="s">
        <v>2619</v>
      </c>
      <c r="D872" s="1">
        <v>46186</v>
      </c>
      <c r="E872" s="1">
        <v>46216</v>
      </c>
      <c r="F872">
        <v>49728.03</v>
      </c>
      <c r="G872" t="s">
        <v>2560</v>
      </c>
      <c r="H872">
        <v>15515.76</v>
      </c>
      <c r="I872">
        <v>34212.269999999997</v>
      </c>
      <c r="J872">
        <v>49</v>
      </c>
      <c r="K872" t="s">
        <v>2636</v>
      </c>
    </row>
    <row r="873" spans="1:11">
      <c r="A873" t="s">
        <v>2631</v>
      </c>
      <c r="B873" t="s">
        <v>1889</v>
      </c>
      <c r="C873" t="s">
        <v>2589</v>
      </c>
      <c r="D873" s="1">
        <v>46186</v>
      </c>
      <c r="E873" s="1">
        <v>46216</v>
      </c>
      <c r="F873">
        <v>66045.56</v>
      </c>
      <c r="G873" t="s">
        <v>2568</v>
      </c>
      <c r="H873">
        <v>66045.56</v>
      </c>
      <c r="I873">
        <v>0</v>
      </c>
      <c r="J873">
        <v>49</v>
      </c>
      <c r="K873" t="s">
        <v>2558</v>
      </c>
    </row>
    <row r="874" spans="1:11">
      <c r="A874" t="s">
        <v>2631</v>
      </c>
      <c r="B874" t="s">
        <v>1567</v>
      </c>
      <c r="C874" t="s">
        <v>2602</v>
      </c>
      <c r="D874" s="1">
        <v>46196</v>
      </c>
      <c r="E874" s="1">
        <v>46256</v>
      </c>
      <c r="F874">
        <v>28881.83</v>
      </c>
      <c r="G874" t="s">
        <v>2562</v>
      </c>
      <c r="H874">
        <v>28881.83</v>
      </c>
      <c r="I874">
        <v>0</v>
      </c>
      <c r="J874">
        <v>9</v>
      </c>
      <c r="K874" t="s">
        <v>2558</v>
      </c>
    </row>
    <row r="875" spans="1:11">
      <c r="A875" t="s">
        <v>2631</v>
      </c>
      <c r="B875" t="s">
        <v>1569</v>
      </c>
      <c r="C875" t="s">
        <v>2612</v>
      </c>
      <c r="D875" s="1">
        <v>46199</v>
      </c>
      <c r="E875" s="1">
        <v>46229</v>
      </c>
      <c r="F875">
        <v>38761.379999999997</v>
      </c>
      <c r="G875" t="s">
        <v>2566</v>
      </c>
      <c r="H875">
        <v>38761.379999999997</v>
      </c>
      <c r="I875">
        <v>0</v>
      </c>
      <c r="J875">
        <v>36</v>
      </c>
      <c r="K875" t="s">
        <v>2558</v>
      </c>
    </row>
    <row r="876" spans="1:11">
      <c r="A876" t="s">
        <v>2631</v>
      </c>
      <c r="B876" t="s">
        <v>1571</v>
      </c>
      <c r="C876" t="s">
        <v>2567</v>
      </c>
      <c r="D876" s="1">
        <v>46200</v>
      </c>
      <c r="E876" s="1">
        <v>46245</v>
      </c>
      <c r="F876">
        <v>321040.61</v>
      </c>
      <c r="G876" t="s">
        <v>2568</v>
      </c>
      <c r="H876">
        <v>321040.61</v>
      </c>
      <c r="I876">
        <v>0</v>
      </c>
      <c r="J876">
        <v>20</v>
      </c>
      <c r="K876" t="s">
        <v>2558</v>
      </c>
    </row>
    <row r="877" spans="1:11">
      <c r="A877" t="s">
        <v>2655</v>
      </c>
      <c r="B877" t="s">
        <v>1573</v>
      </c>
      <c r="C877" t="s">
        <v>2599</v>
      </c>
      <c r="D877" s="1">
        <v>46204</v>
      </c>
      <c r="E877" s="1">
        <v>46264</v>
      </c>
      <c r="F877">
        <v>135891.32</v>
      </c>
      <c r="G877" t="s">
        <v>2562</v>
      </c>
      <c r="H877">
        <v>135891.32</v>
      </c>
      <c r="I877">
        <v>0</v>
      </c>
      <c r="J877">
        <v>1</v>
      </c>
      <c r="K877" t="s">
        <v>2558</v>
      </c>
    </row>
    <row r="878" spans="1:11">
      <c r="A878" t="s">
        <v>2631</v>
      </c>
      <c r="B878" t="s">
        <v>1702</v>
      </c>
      <c r="C878" t="s">
        <v>2599</v>
      </c>
      <c r="D878" s="1">
        <v>46187</v>
      </c>
      <c r="E878" s="1">
        <v>46247</v>
      </c>
      <c r="F878">
        <v>465973.42</v>
      </c>
      <c r="G878" t="s">
        <v>2562</v>
      </c>
      <c r="H878">
        <v>465973.42000000004</v>
      </c>
      <c r="I878">
        <v>0</v>
      </c>
      <c r="J878">
        <v>18</v>
      </c>
      <c r="K878" t="s">
        <v>2558</v>
      </c>
    </row>
    <row r="879" spans="1:11">
      <c r="A879" t="s">
        <v>2655</v>
      </c>
      <c r="B879" t="s">
        <v>1575</v>
      </c>
      <c r="C879" t="s">
        <v>2573</v>
      </c>
      <c r="D879" s="1">
        <v>46209</v>
      </c>
      <c r="E879" s="1">
        <v>46239</v>
      </c>
      <c r="F879">
        <v>34349.18</v>
      </c>
      <c r="G879" t="s">
        <v>2574</v>
      </c>
      <c r="H879">
        <v>34349.18</v>
      </c>
      <c r="I879">
        <v>0</v>
      </c>
      <c r="J879">
        <v>26</v>
      </c>
      <c r="K879" t="s">
        <v>2558</v>
      </c>
    </row>
    <row r="880" spans="1:11">
      <c r="A880" t="s">
        <v>2655</v>
      </c>
      <c r="B880" t="s">
        <v>1577</v>
      </c>
      <c r="C880" t="s">
        <v>2603</v>
      </c>
      <c r="D880" s="1">
        <v>46217</v>
      </c>
      <c r="E880" s="1">
        <v>46247</v>
      </c>
      <c r="F880">
        <v>6744.4</v>
      </c>
      <c r="G880" t="s">
        <v>2557</v>
      </c>
      <c r="H880">
        <v>6744.4</v>
      </c>
      <c r="I880">
        <v>0</v>
      </c>
      <c r="J880">
        <v>18</v>
      </c>
      <c r="K880" t="s">
        <v>2558</v>
      </c>
    </row>
    <row r="881" spans="1:11">
      <c r="A881" t="s">
        <v>2655</v>
      </c>
      <c r="B881" t="s">
        <v>1579</v>
      </c>
      <c r="C881" t="s">
        <v>2579</v>
      </c>
      <c r="D881" s="1">
        <v>46220</v>
      </c>
      <c r="E881" s="1">
        <v>46250</v>
      </c>
      <c r="F881">
        <v>560937.81999999995</v>
      </c>
      <c r="G881" t="s">
        <v>2557</v>
      </c>
      <c r="H881">
        <v>560937.81999999995</v>
      </c>
      <c r="I881">
        <v>0</v>
      </c>
      <c r="J881">
        <v>15</v>
      </c>
      <c r="K881" t="s">
        <v>2558</v>
      </c>
    </row>
    <row r="882" spans="1:11">
      <c r="A882" t="s">
        <v>2631</v>
      </c>
      <c r="B882" t="s">
        <v>2670</v>
      </c>
      <c r="C882" t="s">
        <v>2567</v>
      </c>
      <c r="D882" s="1">
        <v>46187</v>
      </c>
      <c r="E882" s="1">
        <v>46232</v>
      </c>
      <c r="F882">
        <v>2000000</v>
      </c>
      <c r="G882" t="s">
        <v>2568</v>
      </c>
      <c r="I882">
        <v>2000000</v>
      </c>
      <c r="J882">
        <v>33</v>
      </c>
      <c r="K882" t="s">
        <v>2636</v>
      </c>
    </row>
    <row r="883" spans="1:11">
      <c r="A883" t="s">
        <v>2631</v>
      </c>
      <c r="B883" t="s">
        <v>1845</v>
      </c>
      <c r="C883" t="s">
        <v>2619</v>
      </c>
      <c r="D883" s="1">
        <v>46188</v>
      </c>
      <c r="E883" s="1">
        <v>46218</v>
      </c>
      <c r="F883">
        <v>23985.73</v>
      </c>
      <c r="G883" t="s">
        <v>2560</v>
      </c>
      <c r="H883">
        <v>23985.73</v>
      </c>
      <c r="I883">
        <v>0</v>
      </c>
      <c r="J883">
        <v>47</v>
      </c>
      <c r="K883" t="s">
        <v>2558</v>
      </c>
    </row>
    <row r="884" spans="1:11">
      <c r="A884" t="s">
        <v>2631</v>
      </c>
      <c r="B884" t="s">
        <v>1592</v>
      </c>
      <c r="C884" t="s">
        <v>2590</v>
      </c>
      <c r="D884" s="1">
        <v>46191</v>
      </c>
      <c r="E884" s="1">
        <v>46221</v>
      </c>
      <c r="F884">
        <v>50217.83</v>
      </c>
      <c r="G884" t="s">
        <v>2562</v>
      </c>
      <c r="H884">
        <v>31542.39</v>
      </c>
      <c r="I884">
        <v>18675.439999999999</v>
      </c>
      <c r="J884">
        <v>44</v>
      </c>
      <c r="K884" t="s">
        <v>2636</v>
      </c>
    </row>
    <row r="885" spans="1:11">
      <c r="A885" t="s">
        <v>2631</v>
      </c>
      <c r="B885" t="s">
        <v>1626</v>
      </c>
      <c r="C885" t="s">
        <v>2623</v>
      </c>
      <c r="D885" s="1">
        <v>46188</v>
      </c>
      <c r="E885" s="1">
        <v>46218</v>
      </c>
      <c r="F885">
        <v>199407.75</v>
      </c>
      <c r="G885" t="s">
        <v>2562</v>
      </c>
      <c r="H885">
        <v>199407.75</v>
      </c>
      <c r="I885">
        <v>0</v>
      </c>
      <c r="J885">
        <v>47</v>
      </c>
      <c r="K885" t="s">
        <v>2558</v>
      </c>
    </row>
    <row r="886" spans="1:11">
      <c r="A886" t="s">
        <v>2631</v>
      </c>
      <c r="B886" t="s">
        <v>1594</v>
      </c>
      <c r="C886" t="s">
        <v>2611</v>
      </c>
      <c r="D886" s="1">
        <v>46194</v>
      </c>
      <c r="E886" s="1">
        <v>46239</v>
      </c>
      <c r="F886">
        <v>1147673.67</v>
      </c>
      <c r="G886" t="s">
        <v>2566</v>
      </c>
      <c r="H886">
        <v>1147673.67</v>
      </c>
      <c r="I886">
        <v>0</v>
      </c>
      <c r="J886">
        <v>26</v>
      </c>
      <c r="K886" t="s">
        <v>2558</v>
      </c>
    </row>
    <row r="887" spans="1:11">
      <c r="A887" t="s">
        <v>2631</v>
      </c>
      <c r="B887" t="s">
        <v>1597</v>
      </c>
      <c r="C887" t="s">
        <v>2585</v>
      </c>
      <c r="D887" s="1">
        <v>46202</v>
      </c>
      <c r="E887" s="1">
        <v>46232</v>
      </c>
      <c r="F887">
        <v>143035.41</v>
      </c>
      <c r="G887" t="s">
        <v>2562</v>
      </c>
      <c r="H887">
        <v>143035.41</v>
      </c>
      <c r="I887">
        <v>0</v>
      </c>
      <c r="J887">
        <v>33</v>
      </c>
      <c r="K887" t="s">
        <v>2558</v>
      </c>
    </row>
    <row r="888" spans="1:11">
      <c r="A888" t="s">
        <v>2631</v>
      </c>
      <c r="B888" t="s">
        <v>1778</v>
      </c>
      <c r="C888" t="s">
        <v>2590</v>
      </c>
      <c r="D888" s="1">
        <v>46188</v>
      </c>
      <c r="E888" s="1">
        <v>46218</v>
      </c>
      <c r="F888">
        <v>31410.04</v>
      </c>
      <c r="G888" t="s">
        <v>2562</v>
      </c>
      <c r="H888">
        <v>31410.04</v>
      </c>
      <c r="I888">
        <v>0</v>
      </c>
      <c r="J888">
        <v>47</v>
      </c>
      <c r="K888" t="s">
        <v>2558</v>
      </c>
    </row>
    <row r="889" spans="1:11">
      <c r="A889" t="s">
        <v>2655</v>
      </c>
      <c r="B889" t="s">
        <v>1599</v>
      </c>
      <c r="C889" t="s">
        <v>2610</v>
      </c>
      <c r="D889" s="1">
        <v>46205</v>
      </c>
      <c r="E889" s="1">
        <v>46265</v>
      </c>
      <c r="F889">
        <v>204545.5</v>
      </c>
      <c r="G889" t="s">
        <v>2574</v>
      </c>
      <c r="H889">
        <v>204545.5</v>
      </c>
      <c r="I889">
        <v>0</v>
      </c>
      <c r="J889">
        <v>0</v>
      </c>
      <c r="K889" t="s">
        <v>2558</v>
      </c>
    </row>
    <row r="890" spans="1:11">
      <c r="A890" t="s">
        <v>2655</v>
      </c>
      <c r="B890" t="s">
        <v>1601</v>
      </c>
      <c r="C890" t="s">
        <v>2570</v>
      </c>
      <c r="D890" s="1">
        <v>46210</v>
      </c>
      <c r="E890" s="1">
        <v>46240</v>
      </c>
      <c r="F890">
        <v>174655.37</v>
      </c>
      <c r="G890" t="s">
        <v>2557</v>
      </c>
      <c r="H890">
        <v>174655.37</v>
      </c>
      <c r="I890">
        <v>0</v>
      </c>
      <c r="J890">
        <v>25</v>
      </c>
      <c r="K890" t="s">
        <v>2558</v>
      </c>
    </row>
    <row r="891" spans="1:11">
      <c r="A891" t="s">
        <v>2631</v>
      </c>
      <c r="B891" t="s">
        <v>1891</v>
      </c>
      <c r="C891" t="s">
        <v>2569</v>
      </c>
      <c r="D891" s="1">
        <v>46188</v>
      </c>
      <c r="E891" s="1">
        <v>46203</v>
      </c>
      <c r="F891">
        <v>43927.47</v>
      </c>
      <c r="G891" t="s">
        <v>2557</v>
      </c>
      <c r="H891">
        <v>43927.47</v>
      </c>
      <c r="I891">
        <v>0</v>
      </c>
      <c r="J891">
        <v>62</v>
      </c>
      <c r="K891" t="s">
        <v>2558</v>
      </c>
    </row>
    <row r="892" spans="1:11">
      <c r="A892" t="s">
        <v>2655</v>
      </c>
      <c r="B892" t="s">
        <v>1603</v>
      </c>
      <c r="C892" t="s">
        <v>2559</v>
      </c>
      <c r="D892" s="1">
        <v>46213</v>
      </c>
      <c r="E892" s="1">
        <v>46228</v>
      </c>
      <c r="F892">
        <v>59512.15</v>
      </c>
      <c r="G892" t="s">
        <v>2560</v>
      </c>
      <c r="H892">
        <v>59512.15</v>
      </c>
      <c r="I892">
        <v>0</v>
      </c>
      <c r="J892">
        <v>37</v>
      </c>
      <c r="K892" t="s">
        <v>2558</v>
      </c>
    </row>
    <row r="893" spans="1:11">
      <c r="A893" t="s">
        <v>2631</v>
      </c>
      <c r="B893" t="s">
        <v>1945</v>
      </c>
      <c r="C893" t="s">
        <v>2585</v>
      </c>
      <c r="D893" s="1">
        <v>46188</v>
      </c>
      <c r="E893" s="1">
        <v>46218</v>
      </c>
      <c r="F893">
        <v>491338.04</v>
      </c>
      <c r="G893" t="s">
        <v>2562</v>
      </c>
      <c r="H893">
        <v>491338.04</v>
      </c>
      <c r="I893">
        <v>0</v>
      </c>
      <c r="J893">
        <v>47</v>
      </c>
      <c r="K893" t="s">
        <v>2558</v>
      </c>
    </row>
    <row r="894" spans="1:11">
      <c r="A894" t="s">
        <v>2655</v>
      </c>
      <c r="B894" t="s">
        <v>1605</v>
      </c>
      <c r="C894" t="s">
        <v>2588</v>
      </c>
      <c r="D894" s="1">
        <v>46214</v>
      </c>
      <c r="E894" s="1">
        <v>46244</v>
      </c>
      <c r="F894">
        <v>54144.53</v>
      </c>
      <c r="G894" t="s">
        <v>2562</v>
      </c>
      <c r="H894">
        <v>54144.53</v>
      </c>
      <c r="I894">
        <v>0</v>
      </c>
      <c r="J894">
        <v>21</v>
      </c>
      <c r="K894" t="s">
        <v>2558</v>
      </c>
    </row>
    <row r="895" spans="1:11">
      <c r="A895" t="s">
        <v>2631</v>
      </c>
      <c r="B895" t="s">
        <v>2121</v>
      </c>
      <c r="C895" t="s">
        <v>2623</v>
      </c>
      <c r="D895" s="1">
        <v>46188</v>
      </c>
      <c r="E895" s="1">
        <v>46218</v>
      </c>
      <c r="F895">
        <v>59032.88</v>
      </c>
      <c r="G895" t="s">
        <v>2562</v>
      </c>
      <c r="H895">
        <v>59032.88</v>
      </c>
      <c r="I895">
        <v>0</v>
      </c>
      <c r="J895">
        <v>47</v>
      </c>
      <c r="K895" t="s">
        <v>2558</v>
      </c>
    </row>
    <row r="896" spans="1:11">
      <c r="A896" t="s">
        <v>2655</v>
      </c>
      <c r="B896" t="s">
        <v>1607</v>
      </c>
      <c r="C896" t="s">
        <v>2607</v>
      </c>
      <c r="D896" s="1">
        <v>46221</v>
      </c>
      <c r="E896" s="1">
        <v>46251</v>
      </c>
      <c r="F896">
        <v>29495.040000000001</v>
      </c>
      <c r="G896" t="s">
        <v>2562</v>
      </c>
      <c r="H896">
        <v>29495.040000000001</v>
      </c>
      <c r="I896">
        <v>0</v>
      </c>
      <c r="J896">
        <v>14</v>
      </c>
      <c r="K896" t="s">
        <v>2558</v>
      </c>
    </row>
    <row r="897" spans="1:11">
      <c r="A897" t="s">
        <v>2631</v>
      </c>
      <c r="B897" t="s">
        <v>1987</v>
      </c>
      <c r="C897" t="s">
        <v>2587</v>
      </c>
      <c r="D897" s="1">
        <v>46189</v>
      </c>
      <c r="E897" s="1">
        <v>46249</v>
      </c>
      <c r="F897">
        <v>565519.84</v>
      </c>
      <c r="G897" t="s">
        <v>2568</v>
      </c>
      <c r="H897">
        <v>565519.84</v>
      </c>
      <c r="I897">
        <v>0</v>
      </c>
      <c r="J897">
        <v>16</v>
      </c>
      <c r="K897" t="s">
        <v>2558</v>
      </c>
    </row>
    <row r="898" spans="1:11">
      <c r="A898" t="s">
        <v>2655</v>
      </c>
      <c r="B898" t="s">
        <v>1609</v>
      </c>
      <c r="C898" t="s">
        <v>2578</v>
      </c>
      <c r="D898" s="1">
        <v>46223</v>
      </c>
      <c r="E898" s="1">
        <v>46238</v>
      </c>
      <c r="F898">
        <v>55085.59</v>
      </c>
      <c r="G898" t="s">
        <v>2562</v>
      </c>
      <c r="H898">
        <v>55085.59</v>
      </c>
      <c r="I898">
        <v>0</v>
      </c>
      <c r="J898">
        <v>27</v>
      </c>
      <c r="K898" t="s">
        <v>2558</v>
      </c>
    </row>
    <row r="899" spans="1:11">
      <c r="A899" t="s">
        <v>2655</v>
      </c>
      <c r="B899" t="s">
        <v>1611</v>
      </c>
      <c r="C899" t="s">
        <v>2573</v>
      </c>
      <c r="D899" s="1">
        <v>46224</v>
      </c>
      <c r="E899" s="1">
        <v>46254</v>
      </c>
      <c r="F899">
        <v>18182.689999999999</v>
      </c>
      <c r="G899" t="s">
        <v>2574</v>
      </c>
      <c r="H899">
        <v>18182.689999999999</v>
      </c>
      <c r="I899">
        <v>0</v>
      </c>
      <c r="J899">
        <v>11</v>
      </c>
      <c r="K899" t="s">
        <v>2558</v>
      </c>
    </row>
    <row r="900" spans="1:11">
      <c r="A900" t="s">
        <v>2631</v>
      </c>
      <c r="B900" t="s">
        <v>1704</v>
      </c>
      <c r="C900" t="s">
        <v>2604</v>
      </c>
      <c r="D900" s="1">
        <v>46189</v>
      </c>
      <c r="E900" s="1">
        <v>46234</v>
      </c>
      <c r="F900">
        <v>78556.23</v>
      </c>
      <c r="G900" t="s">
        <v>2562</v>
      </c>
      <c r="H900">
        <v>78556.23</v>
      </c>
      <c r="I900">
        <v>0</v>
      </c>
      <c r="J900">
        <v>31</v>
      </c>
      <c r="K900" t="s">
        <v>2558</v>
      </c>
    </row>
    <row r="901" spans="1:11">
      <c r="A901" t="s">
        <v>2655</v>
      </c>
      <c r="B901" t="s">
        <v>1614</v>
      </c>
      <c r="C901" t="s">
        <v>2569</v>
      </c>
      <c r="D901" s="1">
        <v>46230</v>
      </c>
      <c r="E901" s="1">
        <v>46245</v>
      </c>
      <c r="F901">
        <v>23701.17</v>
      </c>
      <c r="G901" t="s">
        <v>2557</v>
      </c>
      <c r="H901">
        <v>12982.71</v>
      </c>
      <c r="I901">
        <v>10718.46</v>
      </c>
      <c r="J901">
        <v>20</v>
      </c>
      <c r="K901" t="s">
        <v>2647</v>
      </c>
    </row>
    <row r="902" spans="1:11">
      <c r="A902" t="s">
        <v>2655</v>
      </c>
      <c r="B902" t="s">
        <v>1616</v>
      </c>
      <c r="C902" t="s">
        <v>2623</v>
      </c>
      <c r="D902" s="1">
        <v>46231</v>
      </c>
      <c r="E902" s="1">
        <v>46261</v>
      </c>
      <c r="F902">
        <v>689063.48</v>
      </c>
      <c r="G902" t="s">
        <v>2562</v>
      </c>
      <c r="H902">
        <v>498278.31000000006</v>
      </c>
      <c r="I902">
        <v>190785.17</v>
      </c>
      <c r="J902">
        <v>4</v>
      </c>
      <c r="K902" t="s">
        <v>2647</v>
      </c>
    </row>
    <row r="903" spans="1:11">
      <c r="A903" t="s">
        <v>2631</v>
      </c>
      <c r="B903" t="s">
        <v>2244</v>
      </c>
      <c r="C903" t="s">
        <v>2571</v>
      </c>
      <c r="D903" s="1">
        <v>46189</v>
      </c>
      <c r="E903" s="1">
        <v>46234</v>
      </c>
      <c r="F903">
        <v>2000000</v>
      </c>
      <c r="G903" t="s">
        <v>2568</v>
      </c>
      <c r="H903">
        <v>2000000</v>
      </c>
      <c r="I903">
        <v>0</v>
      </c>
      <c r="J903">
        <v>31</v>
      </c>
      <c r="K903" t="s">
        <v>2558</v>
      </c>
    </row>
    <row r="904" spans="1:11">
      <c r="A904" t="s">
        <v>2631</v>
      </c>
      <c r="B904" t="s">
        <v>2671</v>
      </c>
      <c r="C904" t="s">
        <v>2579</v>
      </c>
      <c r="D904" s="1">
        <v>46189</v>
      </c>
      <c r="E904" s="1">
        <v>46219</v>
      </c>
      <c r="F904">
        <v>295854.53000000003</v>
      </c>
      <c r="G904" t="s">
        <v>2557</v>
      </c>
      <c r="I904">
        <v>295854.53000000003</v>
      </c>
      <c r="J904">
        <v>46</v>
      </c>
      <c r="K904" t="s">
        <v>2636</v>
      </c>
    </row>
    <row r="905" spans="1:11">
      <c r="A905" t="s">
        <v>2631</v>
      </c>
      <c r="B905" t="s">
        <v>1706</v>
      </c>
      <c r="C905" t="s">
        <v>2573</v>
      </c>
      <c r="D905" s="1">
        <v>46190</v>
      </c>
      <c r="E905" s="1">
        <v>46220</v>
      </c>
      <c r="F905">
        <v>33326.69</v>
      </c>
      <c r="G905" t="s">
        <v>2574</v>
      </c>
      <c r="H905">
        <v>11232.66</v>
      </c>
      <c r="I905">
        <v>22094.03</v>
      </c>
      <c r="J905">
        <v>45</v>
      </c>
      <c r="K905" t="s">
        <v>2636</v>
      </c>
    </row>
    <row r="906" spans="1:11">
      <c r="A906" t="s">
        <v>2631</v>
      </c>
      <c r="B906" t="s">
        <v>2672</v>
      </c>
      <c r="C906" t="s">
        <v>2613</v>
      </c>
      <c r="D906" s="1">
        <v>46190</v>
      </c>
      <c r="E906" s="1">
        <v>46250</v>
      </c>
      <c r="F906">
        <v>235327.02</v>
      </c>
      <c r="G906" t="s">
        <v>2560</v>
      </c>
      <c r="I906">
        <v>235327.02</v>
      </c>
      <c r="J906">
        <v>15</v>
      </c>
      <c r="K906" t="s">
        <v>2647</v>
      </c>
    </row>
    <row r="907" spans="1:11">
      <c r="A907" t="s">
        <v>2631</v>
      </c>
      <c r="B907" t="s">
        <v>1628</v>
      </c>
      <c r="C907" t="s">
        <v>2594</v>
      </c>
      <c r="D907" s="1">
        <v>46194</v>
      </c>
      <c r="E907" s="1">
        <v>46224</v>
      </c>
      <c r="F907">
        <v>81178.97</v>
      </c>
      <c r="G907" t="s">
        <v>2557</v>
      </c>
      <c r="H907">
        <v>81178.97</v>
      </c>
      <c r="I907">
        <v>0</v>
      </c>
      <c r="J907">
        <v>41</v>
      </c>
      <c r="K907" t="s">
        <v>2558</v>
      </c>
    </row>
    <row r="908" spans="1:11">
      <c r="A908" t="s">
        <v>2631</v>
      </c>
      <c r="B908" t="s">
        <v>1630</v>
      </c>
      <c r="C908" t="s">
        <v>2573</v>
      </c>
      <c r="D908" s="1">
        <v>46196</v>
      </c>
      <c r="E908" s="1">
        <v>46226</v>
      </c>
      <c r="F908">
        <v>79967.570000000007</v>
      </c>
      <c r="G908" t="s">
        <v>2574</v>
      </c>
      <c r="H908">
        <v>79967.570000000007</v>
      </c>
      <c r="I908">
        <v>0</v>
      </c>
      <c r="J908">
        <v>39</v>
      </c>
      <c r="K908" t="s">
        <v>2558</v>
      </c>
    </row>
    <row r="909" spans="1:11">
      <c r="A909" t="s">
        <v>2631</v>
      </c>
      <c r="B909" t="s">
        <v>1742</v>
      </c>
      <c r="C909" t="s">
        <v>2582</v>
      </c>
      <c r="D909" s="1">
        <v>46190</v>
      </c>
      <c r="E909" s="1">
        <v>46220</v>
      </c>
      <c r="F909">
        <v>266247.48</v>
      </c>
      <c r="G909" t="s">
        <v>2557</v>
      </c>
      <c r="H909">
        <v>266247.48</v>
      </c>
      <c r="I909">
        <v>0</v>
      </c>
      <c r="J909">
        <v>45</v>
      </c>
      <c r="K909" t="s">
        <v>2558</v>
      </c>
    </row>
    <row r="910" spans="1:11">
      <c r="A910" t="s">
        <v>2655</v>
      </c>
      <c r="B910" t="s">
        <v>1632</v>
      </c>
      <c r="C910" t="s">
        <v>2564</v>
      </c>
      <c r="D910" s="1">
        <v>46205</v>
      </c>
      <c r="E910" s="1">
        <v>46265</v>
      </c>
      <c r="F910">
        <v>221914.34</v>
      </c>
      <c r="G910" t="s">
        <v>2562</v>
      </c>
      <c r="H910">
        <v>221914.34</v>
      </c>
      <c r="I910">
        <v>0</v>
      </c>
      <c r="J910">
        <v>0</v>
      </c>
      <c r="K910" t="s">
        <v>2558</v>
      </c>
    </row>
    <row r="911" spans="1:11">
      <c r="A911" t="s">
        <v>2631</v>
      </c>
      <c r="B911" t="s">
        <v>2123</v>
      </c>
      <c r="C911" t="s">
        <v>2595</v>
      </c>
      <c r="D911" s="1">
        <v>46190</v>
      </c>
      <c r="E911" s="1">
        <v>46220</v>
      </c>
      <c r="F911">
        <v>75870.289999999994</v>
      </c>
      <c r="G911" t="s">
        <v>2568</v>
      </c>
      <c r="H911">
        <v>75870.289999999994</v>
      </c>
      <c r="I911">
        <v>0</v>
      </c>
      <c r="J911">
        <v>45</v>
      </c>
      <c r="K911" t="s">
        <v>2558</v>
      </c>
    </row>
    <row r="912" spans="1:11">
      <c r="A912" t="s">
        <v>2655</v>
      </c>
      <c r="B912" t="s">
        <v>1634</v>
      </c>
      <c r="C912" t="s">
        <v>2587</v>
      </c>
      <c r="D912" s="1">
        <v>46206</v>
      </c>
      <c r="E912" s="1">
        <v>46266</v>
      </c>
      <c r="F912">
        <v>204527.09</v>
      </c>
      <c r="G912" t="s">
        <v>2568</v>
      </c>
      <c r="H912">
        <v>127091.68</v>
      </c>
      <c r="I912">
        <v>77435.41</v>
      </c>
      <c r="J912">
        <v>-1</v>
      </c>
      <c r="K912" t="s">
        <v>2669</v>
      </c>
    </row>
    <row r="913" spans="1:11">
      <c r="A913" t="s">
        <v>2631</v>
      </c>
      <c r="B913" t="s">
        <v>1663</v>
      </c>
      <c r="C913" t="s">
        <v>2599</v>
      </c>
      <c r="D913" s="1">
        <v>46190</v>
      </c>
      <c r="E913" s="1">
        <v>46250</v>
      </c>
      <c r="F913">
        <v>193458.08</v>
      </c>
      <c r="G913" t="s">
        <v>2562</v>
      </c>
      <c r="H913">
        <v>193458.08</v>
      </c>
      <c r="I913">
        <v>0</v>
      </c>
      <c r="J913">
        <v>15</v>
      </c>
      <c r="K913" t="s">
        <v>2558</v>
      </c>
    </row>
    <row r="914" spans="1:11">
      <c r="A914" t="s">
        <v>2655</v>
      </c>
      <c r="B914" t="s">
        <v>1636</v>
      </c>
      <c r="C914" t="s">
        <v>2595</v>
      </c>
      <c r="D914" s="1">
        <v>46208</v>
      </c>
      <c r="E914" s="1">
        <v>46238</v>
      </c>
      <c r="F914">
        <v>317103.77</v>
      </c>
      <c r="G914" t="s">
        <v>2568</v>
      </c>
      <c r="H914">
        <v>317103.77</v>
      </c>
      <c r="I914">
        <v>0</v>
      </c>
      <c r="J914">
        <v>27</v>
      </c>
      <c r="K914" t="s">
        <v>2558</v>
      </c>
    </row>
    <row r="915" spans="1:11">
      <c r="A915" t="s">
        <v>2655</v>
      </c>
      <c r="B915" t="s">
        <v>1639</v>
      </c>
      <c r="C915" t="s">
        <v>2619</v>
      </c>
      <c r="D915" s="1">
        <v>46216</v>
      </c>
      <c r="E915" s="1">
        <v>46246</v>
      </c>
      <c r="F915">
        <v>42390.43</v>
      </c>
      <c r="G915" t="s">
        <v>2560</v>
      </c>
      <c r="H915">
        <v>34790.080000000002</v>
      </c>
      <c r="I915">
        <v>7600.35</v>
      </c>
      <c r="J915">
        <v>19</v>
      </c>
      <c r="K915" t="s">
        <v>2647</v>
      </c>
    </row>
    <row r="916" spans="1:11">
      <c r="A916" t="s">
        <v>2631</v>
      </c>
      <c r="B916" t="s">
        <v>1708</v>
      </c>
      <c r="C916" t="s">
        <v>2598</v>
      </c>
      <c r="D916" s="1">
        <v>46190</v>
      </c>
      <c r="E916" s="1">
        <v>46220</v>
      </c>
      <c r="F916">
        <v>77709.820000000007</v>
      </c>
      <c r="G916" t="s">
        <v>2566</v>
      </c>
      <c r="H916">
        <v>63528.95</v>
      </c>
      <c r="I916">
        <v>14180.87</v>
      </c>
      <c r="J916">
        <v>45</v>
      </c>
      <c r="K916" t="s">
        <v>2636</v>
      </c>
    </row>
    <row r="917" spans="1:11">
      <c r="A917" t="s">
        <v>2655</v>
      </c>
      <c r="B917" t="s">
        <v>1642</v>
      </c>
      <c r="C917" t="s">
        <v>2570</v>
      </c>
      <c r="D917" s="1">
        <v>46225</v>
      </c>
      <c r="E917" s="1">
        <v>46255</v>
      </c>
      <c r="F917">
        <v>152509.17000000001</v>
      </c>
      <c r="G917" t="s">
        <v>2557</v>
      </c>
      <c r="H917">
        <v>152509.17000000001</v>
      </c>
      <c r="I917">
        <v>0</v>
      </c>
      <c r="J917">
        <v>10</v>
      </c>
      <c r="K917" t="s">
        <v>2558</v>
      </c>
    </row>
    <row r="918" spans="1:11">
      <c r="A918" t="s">
        <v>2631</v>
      </c>
      <c r="B918" t="s">
        <v>1989</v>
      </c>
      <c r="C918" t="s">
        <v>2576</v>
      </c>
      <c r="D918" s="1">
        <v>46190</v>
      </c>
      <c r="E918" s="1">
        <v>46235</v>
      </c>
      <c r="F918">
        <v>158911.54999999999</v>
      </c>
      <c r="G918" t="s">
        <v>2566</v>
      </c>
      <c r="H918">
        <v>158911.54999999999</v>
      </c>
      <c r="I918">
        <v>0</v>
      </c>
      <c r="J918">
        <v>30</v>
      </c>
      <c r="K918" t="s">
        <v>2558</v>
      </c>
    </row>
    <row r="919" spans="1:11">
      <c r="A919" t="s">
        <v>2655</v>
      </c>
      <c r="B919" t="s">
        <v>1644</v>
      </c>
      <c r="C919" t="s">
        <v>2593</v>
      </c>
      <c r="D919" s="1">
        <v>46226</v>
      </c>
      <c r="E919" s="1">
        <v>46256</v>
      </c>
      <c r="F919">
        <v>15630.89</v>
      </c>
      <c r="G919" t="s">
        <v>2574</v>
      </c>
      <c r="H919">
        <v>15630.89</v>
      </c>
      <c r="I919">
        <v>0</v>
      </c>
      <c r="J919">
        <v>9</v>
      </c>
      <c r="K919" t="s">
        <v>2558</v>
      </c>
    </row>
    <row r="920" spans="1:11">
      <c r="A920" t="s">
        <v>2655</v>
      </c>
      <c r="B920" t="s">
        <v>1647</v>
      </c>
      <c r="C920" t="s">
        <v>2582</v>
      </c>
      <c r="D920" s="1">
        <v>46231</v>
      </c>
      <c r="E920" s="1">
        <v>46261</v>
      </c>
      <c r="F920">
        <v>150307.07999999999</v>
      </c>
      <c r="G920" t="s">
        <v>2557</v>
      </c>
      <c r="H920">
        <v>150307.07999999999</v>
      </c>
      <c r="I920">
        <v>0</v>
      </c>
      <c r="J920">
        <v>4</v>
      </c>
      <c r="K920" t="s">
        <v>2558</v>
      </c>
    </row>
    <row r="921" spans="1:11">
      <c r="A921" t="s">
        <v>2631</v>
      </c>
      <c r="B921" t="s">
        <v>2673</v>
      </c>
      <c r="C921" t="s">
        <v>2588</v>
      </c>
      <c r="D921" s="1">
        <v>46190</v>
      </c>
      <c r="E921" s="1">
        <v>46220</v>
      </c>
      <c r="F921">
        <v>384768.34</v>
      </c>
      <c r="G921" t="s">
        <v>2562</v>
      </c>
      <c r="I921">
        <v>384768.34</v>
      </c>
      <c r="J921">
        <v>45</v>
      </c>
      <c r="K921" t="s">
        <v>2636</v>
      </c>
    </row>
    <row r="922" spans="1:11">
      <c r="A922" t="s">
        <v>2655</v>
      </c>
      <c r="B922" t="s">
        <v>1649</v>
      </c>
      <c r="C922" t="s">
        <v>2572</v>
      </c>
      <c r="D922" s="1">
        <v>46231</v>
      </c>
      <c r="E922" s="1">
        <v>46246</v>
      </c>
      <c r="F922">
        <v>19892.78</v>
      </c>
      <c r="G922" t="s">
        <v>2557</v>
      </c>
      <c r="H922">
        <v>19892.78</v>
      </c>
      <c r="I922">
        <v>0</v>
      </c>
      <c r="J922">
        <v>19</v>
      </c>
      <c r="K922" t="s">
        <v>2558</v>
      </c>
    </row>
    <row r="923" spans="1:11">
      <c r="A923" t="s">
        <v>2631</v>
      </c>
      <c r="B923" t="s">
        <v>1665</v>
      </c>
      <c r="C923" t="s">
        <v>2573</v>
      </c>
      <c r="D923" s="1">
        <v>46191</v>
      </c>
      <c r="E923" s="1">
        <v>46221</v>
      </c>
      <c r="F923">
        <v>73208.78</v>
      </c>
      <c r="G923" t="s">
        <v>2574</v>
      </c>
      <c r="H923">
        <v>73208.78</v>
      </c>
      <c r="I923">
        <v>0</v>
      </c>
      <c r="J923">
        <v>44</v>
      </c>
      <c r="K923" t="s">
        <v>2558</v>
      </c>
    </row>
    <row r="924" spans="1:11">
      <c r="A924" t="s">
        <v>2631</v>
      </c>
      <c r="B924" t="s">
        <v>1667</v>
      </c>
      <c r="C924" t="s">
        <v>2602</v>
      </c>
      <c r="D924" s="1">
        <v>46191</v>
      </c>
      <c r="E924" s="1">
        <v>46251</v>
      </c>
      <c r="F924">
        <v>317848.73</v>
      </c>
      <c r="G924" t="s">
        <v>2562</v>
      </c>
      <c r="H924">
        <v>317848.73</v>
      </c>
      <c r="I924">
        <v>0</v>
      </c>
      <c r="J924">
        <v>14</v>
      </c>
      <c r="K924" t="s">
        <v>2558</v>
      </c>
    </row>
    <row r="925" spans="1:11">
      <c r="A925" t="s">
        <v>2631</v>
      </c>
      <c r="B925" t="s">
        <v>1670</v>
      </c>
      <c r="C925" t="s">
        <v>2569</v>
      </c>
      <c r="D925" s="1">
        <v>46194</v>
      </c>
      <c r="E925" s="1">
        <v>46209</v>
      </c>
      <c r="F925">
        <v>25270.7</v>
      </c>
      <c r="G925" t="s">
        <v>2557</v>
      </c>
      <c r="H925">
        <v>25270.7</v>
      </c>
      <c r="I925">
        <v>0</v>
      </c>
      <c r="J925">
        <v>56</v>
      </c>
      <c r="K925" t="s">
        <v>2558</v>
      </c>
    </row>
    <row r="926" spans="1:11">
      <c r="A926" t="s">
        <v>2631</v>
      </c>
      <c r="B926" t="s">
        <v>1672</v>
      </c>
      <c r="C926" t="s">
        <v>2592</v>
      </c>
      <c r="D926" s="1">
        <v>46201</v>
      </c>
      <c r="E926" s="1">
        <v>46231</v>
      </c>
      <c r="F926">
        <v>20615.349999999999</v>
      </c>
      <c r="G926" t="s">
        <v>2562</v>
      </c>
      <c r="H926">
        <v>20615.349999999999</v>
      </c>
      <c r="I926">
        <v>0</v>
      </c>
      <c r="J926">
        <v>34</v>
      </c>
      <c r="K926" t="s">
        <v>2558</v>
      </c>
    </row>
    <row r="927" spans="1:11">
      <c r="A927" t="s">
        <v>2631</v>
      </c>
      <c r="B927" t="s">
        <v>2033</v>
      </c>
      <c r="C927" t="s">
        <v>2589</v>
      </c>
      <c r="D927" s="1">
        <v>46191</v>
      </c>
      <c r="E927" s="1">
        <v>46221</v>
      </c>
      <c r="F927">
        <v>8433.49</v>
      </c>
      <c r="G927" t="s">
        <v>2568</v>
      </c>
      <c r="H927">
        <v>8433.49</v>
      </c>
      <c r="I927">
        <v>0</v>
      </c>
      <c r="J927">
        <v>44</v>
      </c>
      <c r="K927" t="s">
        <v>2558</v>
      </c>
    </row>
    <row r="928" spans="1:11">
      <c r="A928" t="s">
        <v>2655</v>
      </c>
      <c r="B928" t="s">
        <v>1674</v>
      </c>
      <c r="C928" t="s">
        <v>2613</v>
      </c>
      <c r="D928" s="1">
        <v>46205</v>
      </c>
      <c r="E928" s="1">
        <v>46265</v>
      </c>
      <c r="F928">
        <v>148354.78</v>
      </c>
      <c r="G928" t="s">
        <v>2560</v>
      </c>
      <c r="H928">
        <v>148354.78</v>
      </c>
      <c r="I928">
        <v>0</v>
      </c>
      <c r="J928">
        <v>0</v>
      </c>
      <c r="K928" t="s">
        <v>2558</v>
      </c>
    </row>
    <row r="929" spans="1:11">
      <c r="A929" t="s">
        <v>2655</v>
      </c>
      <c r="B929" t="s">
        <v>1676</v>
      </c>
      <c r="C929" t="s">
        <v>2590</v>
      </c>
      <c r="D929" s="1">
        <v>46212</v>
      </c>
      <c r="E929" s="1">
        <v>46242</v>
      </c>
      <c r="F929">
        <v>203006.86</v>
      </c>
      <c r="G929" t="s">
        <v>2562</v>
      </c>
      <c r="H929">
        <v>203006.86</v>
      </c>
      <c r="I929">
        <v>0</v>
      </c>
      <c r="J929">
        <v>23</v>
      </c>
      <c r="K929" t="s">
        <v>2558</v>
      </c>
    </row>
    <row r="930" spans="1:11">
      <c r="A930" t="s">
        <v>2631</v>
      </c>
      <c r="B930" t="s">
        <v>2035</v>
      </c>
      <c r="C930" t="s">
        <v>2564</v>
      </c>
      <c r="D930" s="1">
        <v>46191</v>
      </c>
      <c r="E930" s="1">
        <v>46251</v>
      </c>
      <c r="F930">
        <v>649915.71</v>
      </c>
      <c r="G930" t="s">
        <v>2562</v>
      </c>
      <c r="H930">
        <v>349819.29</v>
      </c>
      <c r="I930">
        <v>300096.42</v>
      </c>
      <c r="J930">
        <v>14</v>
      </c>
      <c r="K930" t="s">
        <v>2647</v>
      </c>
    </row>
    <row r="931" spans="1:11">
      <c r="A931" t="s">
        <v>2655</v>
      </c>
      <c r="B931" t="s">
        <v>1678</v>
      </c>
      <c r="C931" t="s">
        <v>2567</v>
      </c>
      <c r="D931" s="1">
        <v>46214</v>
      </c>
      <c r="E931" s="1">
        <v>46259</v>
      </c>
      <c r="F931">
        <v>992008.59</v>
      </c>
      <c r="G931" t="s">
        <v>2568</v>
      </c>
      <c r="H931">
        <v>992008.59</v>
      </c>
      <c r="I931">
        <v>0</v>
      </c>
      <c r="J931">
        <v>6</v>
      </c>
      <c r="K931" t="s">
        <v>2558</v>
      </c>
    </row>
    <row r="932" spans="1:11">
      <c r="A932" t="s">
        <v>2631</v>
      </c>
      <c r="B932" t="s">
        <v>1893</v>
      </c>
      <c r="C932" t="s">
        <v>2570</v>
      </c>
      <c r="D932" s="1">
        <v>46191</v>
      </c>
      <c r="E932" s="1">
        <v>46221</v>
      </c>
      <c r="F932">
        <v>731983.59</v>
      </c>
      <c r="G932" t="s">
        <v>2557</v>
      </c>
      <c r="H932">
        <v>731983.59</v>
      </c>
      <c r="I932">
        <v>0</v>
      </c>
      <c r="J932">
        <v>44</v>
      </c>
      <c r="K932" t="s">
        <v>2558</v>
      </c>
    </row>
    <row r="933" spans="1:11">
      <c r="A933" t="s">
        <v>2655</v>
      </c>
      <c r="B933" t="s">
        <v>1680</v>
      </c>
      <c r="C933" t="s">
        <v>2601</v>
      </c>
      <c r="D933" s="1">
        <v>46215</v>
      </c>
      <c r="E933" s="1">
        <v>46245</v>
      </c>
      <c r="F933">
        <v>26212.95</v>
      </c>
      <c r="G933" t="s">
        <v>2574</v>
      </c>
      <c r="H933">
        <v>8492.09</v>
      </c>
      <c r="I933">
        <v>17720.86</v>
      </c>
      <c r="J933">
        <v>20</v>
      </c>
      <c r="K933" t="s">
        <v>2647</v>
      </c>
    </row>
    <row r="934" spans="1:11">
      <c r="A934" t="s">
        <v>2631</v>
      </c>
      <c r="B934" t="s">
        <v>2246</v>
      </c>
      <c r="C934" t="s">
        <v>2579</v>
      </c>
      <c r="D934" s="1">
        <v>46191</v>
      </c>
      <c r="E934" s="1">
        <v>46221</v>
      </c>
      <c r="F934">
        <v>103609.2</v>
      </c>
      <c r="G934" t="s">
        <v>2557</v>
      </c>
      <c r="H934">
        <v>103609.2</v>
      </c>
      <c r="I934">
        <v>0</v>
      </c>
      <c r="J934">
        <v>44</v>
      </c>
      <c r="K934" t="s">
        <v>2558</v>
      </c>
    </row>
    <row r="935" spans="1:11">
      <c r="A935" t="s">
        <v>2655</v>
      </c>
      <c r="B935" t="s">
        <v>1682</v>
      </c>
      <c r="C935" t="s">
        <v>2577</v>
      </c>
      <c r="D935" s="1">
        <v>46217</v>
      </c>
      <c r="E935" s="1">
        <v>46247</v>
      </c>
      <c r="F935">
        <v>45888.55</v>
      </c>
      <c r="G935" t="s">
        <v>2562</v>
      </c>
      <c r="H935">
        <v>26786.42</v>
      </c>
      <c r="I935">
        <v>19102.13</v>
      </c>
      <c r="J935">
        <v>18</v>
      </c>
      <c r="K935" t="s">
        <v>2647</v>
      </c>
    </row>
    <row r="936" spans="1:11">
      <c r="A936" t="s">
        <v>2655</v>
      </c>
      <c r="B936" t="s">
        <v>1684</v>
      </c>
      <c r="C936" t="s">
        <v>2593</v>
      </c>
      <c r="D936" s="1">
        <v>46217</v>
      </c>
      <c r="E936" s="1">
        <v>46247</v>
      </c>
      <c r="F936">
        <v>24028.15</v>
      </c>
      <c r="G936" t="s">
        <v>2574</v>
      </c>
      <c r="H936">
        <v>24028.15</v>
      </c>
      <c r="I936">
        <v>0</v>
      </c>
      <c r="J936">
        <v>18</v>
      </c>
      <c r="K936" t="s">
        <v>2558</v>
      </c>
    </row>
    <row r="937" spans="1:11">
      <c r="A937" t="s">
        <v>2655</v>
      </c>
      <c r="B937" t="s">
        <v>1686</v>
      </c>
      <c r="C937" t="s">
        <v>2600</v>
      </c>
      <c r="D937" s="1">
        <v>46226</v>
      </c>
      <c r="E937" s="1">
        <v>46256</v>
      </c>
      <c r="F937">
        <v>12925.29</v>
      </c>
      <c r="G937" t="s">
        <v>2568</v>
      </c>
      <c r="H937">
        <v>12925.29</v>
      </c>
      <c r="I937">
        <v>0</v>
      </c>
      <c r="J937">
        <v>9</v>
      </c>
      <c r="K937" t="s">
        <v>2558</v>
      </c>
    </row>
    <row r="938" spans="1:11">
      <c r="A938" t="s">
        <v>2631</v>
      </c>
      <c r="B938" t="s">
        <v>2304</v>
      </c>
      <c r="C938" t="s">
        <v>2592</v>
      </c>
      <c r="D938" s="1">
        <v>46192</v>
      </c>
      <c r="E938" s="1">
        <v>46222</v>
      </c>
      <c r="F938">
        <v>9596.51</v>
      </c>
      <c r="G938" t="s">
        <v>2562</v>
      </c>
      <c r="H938">
        <v>9596.51</v>
      </c>
      <c r="I938">
        <v>0</v>
      </c>
      <c r="J938">
        <v>43</v>
      </c>
      <c r="K938" t="s">
        <v>2558</v>
      </c>
    </row>
    <row r="939" spans="1:11">
      <c r="A939" t="s">
        <v>2631</v>
      </c>
      <c r="B939" t="s">
        <v>2155</v>
      </c>
      <c r="C939" t="s">
        <v>2595</v>
      </c>
      <c r="D939" s="1">
        <v>46192</v>
      </c>
      <c r="E939" s="1">
        <v>46222</v>
      </c>
      <c r="F939">
        <v>64129.14</v>
      </c>
      <c r="G939" t="s">
        <v>2568</v>
      </c>
      <c r="H939">
        <v>64129.14</v>
      </c>
      <c r="I939">
        <v>0</v>
      </c>
      <c r="J939">
        <v>43</v>
      </c>
      <c r="K939" t="s">
        <v>2558</v>
      </c>
    </row>
    <row r="940" spans="1:11">
      <c r="A940" t="s">
        <v>2631</v>
      </c>
      <c r="B940" t="s">
        <v>1745</v>
      </c>
      <c r="C940" t="s">
        <v>2599</v>
      </c>
      <c r="D940" s="1">
        <v>46193</v>
      </c>
      <c r="E940" s="1">
        <v>46253</v>
      </c>
      <c r="F940">
        <v>125415.11</v>
      </c>
      <c r="G940" t="s">
        <v>2562</v>
      </c>
      <c r="H940">
        <v>125415.11</v>
      </c>
      <c r="I940">
        <v>0</v>
      </c>
      <c r="J940">
        <v>12</v>
      </c>
      <c r="K940" t="s">
        <v>2558</v>
      </c>
    </row>
    <row r="941" spans="1:11">
      <c r="A941" t="s">
        <v>2631</v>
      </c>
      <c r="B941" t="s">
        <v>2674</v>
      </c>
      <c r="C941" t="s">
        <v>2569</v>
      </c>
      <c r="D941" s="1">
        <v>46193</v>
      </c>
      <c r="E941" s="1">
        <v>46208</v>
      </c>
      <c r="F941">
        <v>10162.02</v>
      </c>
      <c r="G941" t="s">
        <v>2557</v>
      </c>
      <c r="I941">
        <v>10162.02</v>
      </c>
      <c r="J941">
        <v>57</v>
      </c>
      <c r="K941" t="s">
        <v>2636</v>
      </c>
    </row>
    <row r="942" spans="1:11">
      <c r="A942" t="s">
        <v>2631</v>
      </c>
      <c r="B942" t="s">
        <v>1781</v>
      </c>
      <c r="C942" t="s">
        <v>2640</v>
      </c>
      <c r="D942" s="1">
        <v>46193</v>
      </c>
      <c r="E942" s="1">
        <v>46253</v>
      </c>
      <c r="F942">
        <v>115067.5</v>
      </c>
      <c r="G942" t="s">
        <v>2560</v>
      </c>
      <c r="H942">
        <v>115067.5</v>
      </c>
      <c r="I942">
        <v>0</v>
      </c>
      <c r="J942">
        <v>12</v>
      </c>
      <c r="K942" t="s">
        <v>2558</v>
      </c>
    </row>
    <row r="943" spans="1:11">
      <c r="A943" t="s">
        <v>2631</v>
      </c>
      <c r="B943" t="s">
        <v>1710</v>
      </c>
      <c r="C943" t="s">
        <v>2593</v>
      </c>
      <c r="D943" s="1">
        <v>46193</v>
      </c>
      <c r="E943" s="1">
        <v>46223</v>
      </c>
      <c r="F943">
        <v>92653.52</v>
      </c>
      <c r="G943" t="s">
        <v>2574</v>
      </c>
      <c r="H943">
        <v>92653.52</v>
      </c>
      <c r="I943">
        <v>0</v>
      </c>
      <c r="J943">
        <v>42</v>
      </c>
      <c r="K943" t="s">
        <v>2558</v>
      </c>
    </row>
    <row r="944" spans="1:11">
      <c r="A944" t="s">
        <v>2631</v>
      </c>
      <c r="B944" t="s">
        <v>1712</v>
      </c>
      <c r="C944" t="s">
        <v>2589</v>
      </c>
      <c r="D944" s="1">
        <v>46203</v>
      </c>
      <c r="E944" s="1">
        <v>46233</v>
      </c>
      <c r="F944">
        <v>20115.77</v>
      </c>
      <c r="G944" t="s">
        <v>2568</v>
      </c>
      <c r="H944">
        <v>20115.77</v>
      </c>
      <c r="I944">
        <v>0</v>
      </c>
      <c r="J944">
        <v>32</v>
      </c>
      <c r="K944" t="s">
        <v>2558</v>
      </c>
    </row>
    <row r="945" spans="1:11">
      <c r="A945" t="s">
        <v>2655</v>
      </c>
      <c r="B945" t="s">
        <v>1714</v>
      </c>
      <c r="C945" t="s">
        <v>2582</v>
      </c>
      <c r="D945" s="1">
        <v>46206</v>
      </c>
      <c r="E945" s="1">
        <v>46236</v>
      </c>
      <c r="F945">
        <v>77065.45</v>
      </c>
      <c r="G945" t="s">
        <v>2557</v>
      </c>
      <c r="H945">
        <v>77065.45</v>
      </c>
      <c r="I945">
        <v>0</v>
      </c>
      <c r="J945">
        <v>29</v>
      </c>
      <c r="K945" t="s">
        <v>2558</v>
      </c>
    </row>
    <row r="946" spans="1:11">
      <c r="A946" t="s">
        <v>2655</v>
      </c>
      <c r="B946" t="s">
        <v>1716</v>
      </c>
      <c r="C946" t="s">
        <v>2564</v>
      </c>
      <c r="D946" s="1">
        <v>46207</v>
      </c>
      <c r="E946" s="1">
        <v>46267</v>
      </c>
      <c r="F946">
        <v>308449.14</v>
      </c>
      <c r="G946" t="s">
        <v>2562</v>
      </c>
      <c r="H946">
        <v>308449.14</v>
      </c>
      <c r="I946">
        <v>0</v>
      </c>
      <c r="J946">
        <v>-2</v>
      </c>
      <c r="K946" t="s">
        <v>2558</v>
      </c>
    </row>
    <row r="947" spans="1:11">
      <c r="A947" t="s">
        <v>2631</v>
      </c>
      <c r="B947" t="s">
        <v>1747</v>
      </c>
      <c r="C947" t="s">
        <v>2603</v>
      </c>
      <c r="D947" s="1">
        <v>46194</v>
      </c>
      <c r="E947" s="1">
        <v>46224</v>
      </c>
      <c r="F947">
        <v>26165.88</v>
      </c>
      <c r="G947" t="s">
        <v>2557</v>
      </c>
      <c r="H947">
        <v>26165.88</v>
      </c>
      <c r="I947">
        <v>0</v>
      </c>
      <c r="J947">
        <v>41</v>
      </c>
      <c r="K947" t="s">
        <v>2558</v>
      </c>
    </row>
    <row r="948" spans="1:11">
      <c r="A948" t="s">
        <v>2655</v>
      </c>
      <c r="B948" t="s">
        <v>1718</v>
      </c>
      <c r="C948" t="s">
        <v>2608</v>
      </c>
      <c r="D948" s="1">
        <v>46208</v>
      </c>
      <c r="E948" s="1">
        <v>46253</v>
      </c>
      <c r="F948">
        <v>63959.56</v>
      </c>
      <c r="G948" t="s">
        <v>2560</v>
      </c>
      <c r="H948">
        <v>63959.56</v>
      </c>
      <c r="I948">
        <v>0</v>
      </c>
      <c r="J948">
        <v>12</v>
      </c>
      <c r="K948" t="s">
        <v>2558</v>
      </c>
    </row>
    <row r="949" spans="1:11">
      <c r="A949" t="s">
        <v>2631</v>
      </c>
      <c r="B949" t="s">
        <v>1826</v>
      </c>
      <c r="C949" t="s">
        <v>2570</v>
      </c>
      <c r="D949" s="1">
        <v>46194</v>
      </c>
      <c r="E949" s="1">
        <v>46224</v>
      </c>
      <c r="F949">
        <v>1085115.3</v>
      </c>
      <c r="G949" t="s">
        <v>2557</v>
      </c>
      <c r="H949">
        <v>1085115.3</v>
      </c>
      <c r="I949">
        <v>0</v>
      </c>
      <c r="J949">
        <v>41</v>
      </c>
      <c r="K949" t="s">
        <v>2558</v>
      </c>
    </row>
    <row r="950" spans="1:11">
      <c r="A950" t="s">
        <v>2655</v>
      </c>
      <c r="B950" t="s">
        <v>1720</v>
      </c>
      <c r="C950" t="s">
        <v>2623</v>
      </c>
      <c r="D950" s="1">
        <v>46223</v>
      </c>
      <c r="E950" s="1">
        <v>46253</v>
      </c>
      <c r="F950">
        <v>519300.72</v>
      </c>
      <c r="G950" t="s">
        <v>2562</v>
      </c>
      <c r="H950">
        <v>519300.72</v>
      </c>
      <c r="I950">
        <v>0</v>
      </c>
      <c r="J950">
        <v>12</v>
      </c>
      <c r="K950" t="s">
        <v>2558</v>
      </c>
    </row>
    <row r="951" spans="1:11">
      <c r="A951" t="s">
        <v>2655</v>
      </c>
      <c r="B951" t="s">
        <v>1722</v>
      </c>
      <c r="C951" t="s">
        <v>2570</v>
      </c>
      <c r="D951" s="1">
        <v>46226</v>
      </c>
      <c r="E951" s="1">
        <v>46256</v>
      </c>
      <c r="F951">
        <v>370392.48</v>
      </c>
      <c r="G951" t="s">
        <v>2557</v>
      </c>
      <c r="H951">
        <v>370392.48</v>
      </c>
      <c r="I951">
        <v>0</v>
      </c>
      <c r="J951">
        <v>9</v>
      </c>
      <c r="K951" t="s">
        <v>2558</v>
      </c>
    </row>
    <row r="952" spans="1:11">
      <c r="A952" t="s">
        <v>2631</v>
      </c>
      <c r="B952" t="s">
        <v>2037</v>
      </c>
      <c r="C952" t="s">
        <v>2569</v>
      </c>
      <c r="D952" s="1">
        <v>46194</v>
      </c>
      <c r="E952" s="1">
        <v>46209</v>
      </c>
      <c r="F952">
        <v>55205.03</v>
      </c>
      <c r="G952" t="s">
        <v>2557</v>
      </c>
      <c r="H952">
        <v>35009.58</v>
      </c>
      <c r="I952">
        <v>20195.45</v>
      </c>
      <c r="J952">
        <v>56</v>
      </c>
      <c r="K952" t="s">
        <v>2636</v>
      </c>
    </row>
    <row r="953" spans="1:11">
      <c r="A953" t="s">
        <v>2631</v>
      </c>
      <c r="B953" t="s">
        <v>2675</v>
      </c>
      <c r="C953" t="s">
        <v>2587</v>
      </c>
      <c r="D953" s="1">
        <v>46194</v>
      </c>
      <c r="E953" s="1">
        <v>46254</v>
      </c>
      <c r="F953">
        <v>515222.21</v>
      </c>
      <c r="G953" t="s">
        <v>2568</v>
      </c>
      <c r="I953">
        <v>515222.21</v>
      </c>
      <c r="J953">
        <v>11</v>
      </c>
      <c r="K953" t="s">
        <v>2647</v>
      </c>
    </row>
    <row r="954" spans="1:11">
      <c r="A954" t="s">
        <v>2631</v>
      </c>
      <c r="B954" t="s">
        <v>2358</v>
      </c>
      <c r="C954" t="s">
        <v>2612</v>
      </c>
      <c r="D954" s="1">
        <v>46194</v>
      </c>
      <c r="E954" s="1">
        <v>46224</v>
      </c>
      <c r="F954">
        <v>92313.16</v>
      </c>
      <c r="G954" t="s">
        <v>2566</v>
      </c>
      <c r="H954">
        <v>92313.16</v>
      </c>
      <c r="I954">
        <v>0</v>
      </c>
      <c r="J954">
        <v>41</v>
      </c>
      <c r="K954" t="s">
        <v>2558</v>
      </c>
    </row>
    <row r="955" spans="1:11">
      <c r="A955" t="s">
        <v>2631</v>
      </c>
      <c r="B955" t="s">
        <v>2127</v>
      </c>
      <c r="C955" t="s">
        <v>2570</v>
      </c>
      <c r="D955" s="1">
        <v>46194</v>
      </c>
      <c r="E955" s="1">
        <v>46224</v>
      </c>
      <c r="F955">
        <v>225708.19</v>
      </c>
      <c r="G955" t="s">
        <v>2557</v>
      </c>
      <c r="H955">
        <v>225708.19</v>
      </c>
      <c r="I955">
        <v>0</v>
      </c>
      <c r="J955">
        <v>41</v>
      </c>
      <c r="K955" t="s">
        <v>2558</v>
      </c>
    </row>
    <row r="956" spans="1:11">
      <c r="A956" t="s">
        <v>2631</v>
      </c>
      <c r="B956" t="s">
        <v>2360</v>
      </c>
      <c r="C956" t="s">
        <v>2604</v>
      </c>
      <c r="D956" s="1">
        <v>46195</v>
      </c>
      <c r="E956" s="1">
        <v>46240</v>
      </c>
      <c r="F956">
        <v>132052.89000000001</v>
      </c>
      <c r="G956" t="s">
        <v>2562</v>
      </c>
      <c r="H956">
        <v>132052.89000000001</v>
      </c>
      <c r="I956">
        <v>0</v>
      </c>
      <c r="J956">
        <v>25</v>
      </c>
      <c r="K956" t="s">
        <v>2558</v>
      </c>
    </row>
    <row r="957" spans="1:11">
      <c r="A957" t="s">
        <v>2631</v>
      </c>
      <c r="B957" t="s">
        <v>1991</v>
      </c>
      <c r="C957" t="s">
        <v>2590</v>
      </c>
      <c r="D957" s="1">
        <v>46195</v>
      </c>
      <c r="E957" s="1">
        <v>46225</v>
      </c>
      <c r="F957">
        <v>68325.89</v>
      </c>
      <c r="G957" t="s">
        <v>2562</v>
      </c>
      <c r="H957">
        <v>38401.020000000004</v>
      </c>
      <c r="I957">
        <v>29924.87</v>
      </c>
      <c r="J957">
        <v>40</v>
      </c>
      <c r="K957" t="s">
        <v>2636</v>
      </c>
    </row>
    <row r="958" spans="1:11">
      <c r="A958" t="s">
        <v>2631</v>
      </c>
      <c r="B958" t="s">
        <v>2676</v>
      </c>
      <c r="C958" t="s">
        <v>2564</v>
      </c>
      <c r="D958" s="1">
        <v>46195</v>
      </c>
      <c r="E958" s="1">
        <v>46255</v>
      </c>
      <c r="F958">
        <v>143487.94</v>
      </c>
      <c r="G958" t="s">
        <v>2562</v>
      </c>
      <c r="I958">
        <v>143487.94</v>
      </c>
      <c r="J958">
        <v>10</v>
      </c>
      <c r="K958" t="s">
        <v>2647</v>
      </c>
    </row>
    <row r="959" spans="1:11">
      <c r="A959" t="s">
        <v>2631</v>
      </c>
      <c r="B959" t="s">
        <v>2039</v>
      </c>
      <c r="C959" t="s">
        <v>2576</v>
      </c>
      <c r="D959" s="1">
        <v>46195</v>
      </c>
      <c r="E959" s="1">
        <v>46240</v>
      </c>
      <c r="F959">
        <v>998545.23</v>
      </c>
      <c r="G959" t="s">
        <v>2566</v>
      </c>
      <c r="H959">
        <v>998545.23</v>
      </c>
      <c r="I959">
        <v>0</v>
      </c>
      <c r="J959">
        <v>25</v>
      </c>
      <c r="K959" t="s">
        <v>2558</v>
      </c>
    </row>
    <row r="960" spans="1:11">
      <c r="A960" t="s">
        <v>2631</v>
      </c>
      <c r="B960" t="s">
        <v>2500</v>
      </c>
      <c r="C960" t="s">
        <v>2600</v>
      </c>
      <c r="D960" s="1">
        <v>46195</v>
      </c>
      <c r="E960" s="1">
        <v>46225</v>
      </c>
      <c r="F960">
        <v>54508.7</v>
      </c>
      <c r="G960" t="s">
        <v>2568</v>
      </c>
      <c r="H960">
        <v>54508.7</v>
      </c>
      <c r="I960">
        <v>0</v>
      </c>
      <c r="J960">
        <v>40</v>
      </c>
      <c r="K960" t="s">
        <v>2558</v>
      </c>
    </row>
    <row r="961" spans="1:11">
      <c r="A961" t="s">
        <v>2631</v>
      </c>
      <c r="B961" t="s">
        <v>2502</v>
      </c>
      <c r="C961" t="s">
        <v>2589</v>
      </c>
      <c r="D961" s="1">
        <v>46195</v>
      </c>
      <c r="E961" s="1">
        <v>46225</v>
      </c>
      <c r="F961">
        <v>10016.86</v>
      </c>
      <c r="G961" t="s">
        <v>2568</v>
      </c>
      <c r="H961">
        <v>10016.86</v>
      </c>
      <c r="I961">
        <v>0</v>
      </c>
      <c r="J961">
        <v>40</v>
      </c>
      <c r="K961" t="s">
        <v>2558</v>
      </c>
    </row>
    <row r="962" spans="1:11">
      <c r="A962" t="s">
        <v>2655</v>
      </c>
      <c r="B962" t="s">
        <v>1750</v>
      </c>
      <c r="C962" t="s">
        <v>2589</v>
      </c>
      <c r="D962" s="1">
        <v>46204</v>
      </c>
      <c r="E962" s="1">
        <v>46234</v>
      </c>
      <c r="F962">
        <v>14025.11</v>
      </c>
      <c r="G962" t="s">
        <v>2568</v>
      </c>
      <c r="H962">
        <v>14025.11</v>
      </c>
      <c r="I962">
        <v>0</v>
      </c>
      <c r="J962">
        <v>31</v>
      </c>
      <c r="K962" t="s">
        <v>2558</v>
      </c>
    </row>
    <row r="963" spans="1:11">
      <c r="A963" t="s">
        <v>2631</v>
      </c>
      <c r="B963" t="s">
        <v>2204</v>
      </c>
      <c r="C963" t="s">
        <v>2599</v>
      </c>
      <c r="D963" s="1">
        <v>46195</v>
      </c>
      <c r="E963" s="1">
        <v>46255</v>
      </c>
      <c r="F963">
        <v>441197.27</v>
      </c>
      <c r="G963" t="s">
        <v>2562</v>
      </c>
      <c r="H963">
        <v>441197.27</v>
      </c>
      <c r="I963">
        <v>0</v>
      </c>
      <c r="J963">
        <v>10</v>
      </c>
      <c r="K963" t="s">
        <v>2558</v>
      </c>
    </row>
    <row r="964" spans="1:11">
      <c r="A964" t="s">
        <v>2655</v>
      </c>
      <c r="B964" t="s">
        <v>1752</v>
      </c>
      <c r="C964" t="s">
        <v>2585</v>
      </c>
      <c r="D964" s="1">
        <v>46206</v>
      </c>
      <c r="E964" s="1">
        <v>46236</v>
      </c>
      <c r="F964">
        <v>479557.36</v>
      </c>
      <c r="G964" t="s">
        <v>2562</v>
      </c>
      <c r="H964">
        <v>479557.36</v>
      </c>
      <c r="I964">
        <v>0</v>
      </c>
      <c r="J964">
        <v>29</v>
      </c>
      <c r="K964" t="s">
        <v>2558</v>
      </c>
    </row>
    <row r="965" spans="1:11">
      <c r="A965" t="s">
        <v>2655</v>
      </c>
      <c r="B965" t="s">
        <v>1754</v>
      </c>
      <c r="C965" t="s">
        <v>2592</v>
      </c>
      <c r="D965" s="1">
        <v>46208</v>
      </c>
      <c r="E965" s="1">
        <v>46238</v>
      </c>
      <c r="F965">
        <v>30056.22</v>
      </c>
      <c r="G965" t="s">
        <v>2562</v>
      </c>
      <c r="H965">
        <v>30056.22</v>
      </c>
      <c r="I965">
        <v>0</v>
      </c>
      <c r="J965">
        <v>27</v>
      </c>
      <c r="K965" t="s">
        <v>2558</v>
      </c>
    </row>
    <row r="966" spans="1:11">
      <c r="A966" t="s">
        <v>2631</v>
      </c>
      <c r="B966" t="s">
        <v>2041</v>
      </c>
      <c r="C966" t="s">
        <v>2585</v>
      </c>
      <c r="D966" s="1">
        <v>46196</v>
      </c>
      <c r="E966" s="1">
        <v>46226</v>
      </c>
      <c r="F966">
        <v>984283.07</v>
      </c>
      <c r="G966" t="s">
        <v>2562</v>
      </c>
      <c r="H966">
        <v>984283.07</v>
      </c>
      <c r="I966">
        <v>0</v>
      </c>
      <c r="J966">
        <v>39</v>
      </c>
      <c r="K966" t="s">
        <v>2558</v>
      </c>
    </row>
    <row r="967" spans="1:11">
      <c r="A967" t="s">
        <v>2655</v>
      </c>
      <c r="B967" t="s">
        <v>1756</v>
      </c>
      <c r="C967" t="s">
        <v>2576</v>
      </c>
      <c r="D967" s="1">
        <v>46211</v>
      </c>
      <c r="E967" s="1">
        <v>46256</v>
      </c>
      <c r="F967">
        <v>71078.58</v>
      </c>
      <c r="G967" t="s">
        <v>2566</v>
      </c>
      <c r="H967">
        <v>71078.58</v>
      </c>
      <c r="I967">
        <v>0</v>
      </c>
      <c r="J967">
        <v>9</v>
      </c>
      <c r="K967" t="s">
        <v>2558</v>
      </c>
    </row>
    <row r="968" spans="1:11">
      <c r="A968" t="s">
        <v>2655</v>
      </c>
      <c r="B968" t="s">
        <v>1758</v>
      </c>
      <c r="C968" t="s">
        <v>2556</v>
      </c>
      <c r="D968" s="1">
        <v>46223</v>
      </c>
      <c r="E968" s="1">
        <v>46253</v>
      </c>
      <c r="F968">
        <v>96981.37</v>
      </c>
      <c r="G968" t="s">
        <v>2557</v>
      </c>
      <c r="H968">
        <v>96981.37</v>
      </c>
      <c r="I968">
        <v>0</v>
      </c>
      <c r="J968">
        <v>12</v>
      </c>
      <c r="K968" t="s">
        <v>2558</v>
      </c>
    </row>
    <row r="969" spans="1:11">
      <c r="A969" t="s">
        <v>2631</v>
      </c>
      <c r="B969" t="s">
        <v>2677</v>
      </c>
      <c r="C969" t="s">
        <v>2577</v>
      </c>
      <c r="D969" s="1">
        <v>46196</v>
      </c>
      <c r="E969" s="1">
        <v>46226</v>
      </c>
      <c r="F969">
        <v>37956.879999999997</v>
      </c>
      <c r="G969" t="s">
        <v>2562</v>
      </c>
      <c r="I969">
        <v>37956.879999999997</v>
      </c>
      <c r="J969">
        <v>39</v>
      </c>
      <c r="K969" t="s">
        <v>2636</v>
      </c>
    </row>
    <row r="970" spans="1:11">
      <c r="A970" t="s">
        <v>2655</v>
      </c>
      <c r="B970" t="s">
        <v>1760</v>
      </c>
      <c r="C970" t="s">
        <v>2576</v>
      </c>
      <c r="D970" s="1">
        <v>46225</v>
      </c>
      <c r="E970" s="1">
        <v>46270</v>
      </c>
      <c r="F970">
        <v>471054.53</v>
      </c>
      <c r="G970" t="s">
        <v>2566</v>
      </c>
      <c r="H970">
        <v>471054.53</v>
      </c>
      <c r="I970">
        <v>0</v>
      </c>
      <c r="J970">
        <v>-5</v>
      </c>
      <c r="K970" t="s">
        <v>2558</v>
      </c>
    </row>
    <row r="971" spans="1:11">
      <c r="A971" t="s">
        <v>2655</v>
      </c>
      <c r="B971" t="s">
        <v>1762</v>
      </c>
      <c r="C971" t="s">
        <v>2599</v>
      </c>
      <c r="D971" s="1">
        <v>46231</v>
      </c>
      <c r="E971" s="1">
        <v>46291</v>
      </c>
      <c r="F971">
        <v>109212.15</v>
      </c>
      <c r="G971" t="s">
        <v>2562</v>
      </c>
      <c r="H971">
        <v>109212.15</v>
      </c>
      <c r="I971">
        <v>0</v>
      </c>
      <c r="J971">
        <v>-26</v>
      </c>
      <c r="K971" t="s">
        <v>2558</v>
      </c>
    </row>
    <row r="972" spans="1:11">
      <c r="A972" t="s">
        <v>2631</v>
      </c>
      <c r="B972" t="s">
        <v>2069</v>
      </c>
      <c r="C972" t="s">
        <v>2588</v>
      </c>
      <c r="D972" s="1">
        <v>46196</v>
      </c>
      <c r="E972" s="1">
        <v>46226</v>
      </c>
      <c r="F972">
        <v>58720.86</v>
      </c>
      <c r="G972" t="s">
        <v>2562</v>
      </c>
      <c r="H972">
        <v>37810</v>
      </c>
      <c r="I972">
        <v>20910.86</v>
      </c>
      <c r="J972">
        <v>39</v>
      </c>
      <c r="K972" t="s">
        <v>2636</v>
      </c>
    </row>
    <row r="973" spans="1:11">
      <c r="A973" t="s">
        <v>2631</v>
      </c>
      <c r="B973" t="s">
        <v>2362</v>
      </c>
      <c r="C973" t="s">
        <v>2585</v>
      </c>
      <c r="D973" s="1">
        <v>46196</v>
      </c>
      <c r="E973" s="1">
        <v>46226</v>
      </c>
      <c r="F973">
        <v>95588.41</v>
      </c>
      <c r="G973" t="s">
        <v>2562</v>
      </c>
      <c r="H973">
        <v>95588.41</v>
      </c>
      <c r="I973">
        <v>0</v>
      </c>
      <c r="J973">
        <v>39</v>
      </c>
      <c r="K973" t="s">
        <v>2558</v>
      </c>
    </row>
    <row r="974" spans="1:11">
      <c r="A974" t="s">
        <v>2631</v>
      </c>
      <c r="B974" t="s">
        <v>1783</v>
      </c>
      <c r="C974" t="s">
        <v>2572</v>
      </c>
      <c r="D974" s="1">
        <v>46197</v>
      </c>
      <c r="E974" s="1">
        <v>46212</v>
      </c>
      <c r="F974">
        <v>83017.36</v>
      </c>
      <c r="G974" t="s">
        <v>2557</v>
      </c>
      <c r="H974">
        <v>53325.72</v>
      </c>
      <c r="I974">
        <v>29691.64</v>
      </c>
      <c r="J974">
        <v>53</v>
      </c>
      <c r="K974" t="s">
        <v>2636</v>
      </c>
    </row>
    <row r="975" spans="1:11">
      <c r="A975" t="s">
        <v>2631</v>
      </c>
      <c r="B975" t="s">
        <v>1785</v>
      </c>
      <c r="C975" t="s">
        <v>2579</v>
      </c>
      <c r="D975" s="1">
        <v>46199</v>
      </c>
      <c r="E975" s="1">
        <v>46229</v>
      </c>
      <c r="F975">
        <v>267285.98</v>
      </c>
      <c r="G975" t="s">
        <v>2557</v>
      </c>
      <c r="H975">
        <v>267285.98</v>
      </c>
      <c r="I975">
        <v>0</v>
      </c>
      <c r="J975">
        <v>36</v>
      </c>
      <c r="K975" t="s">
        <v>2558</v>
      </c>
    </row>
    <row r="976" spans="1:11">
      <c r="A976" t="s">
        <v>2631</v>
      </c>
      <c r="B976" t="s">
        <v>1787</v>
      </c>
      <c r="C976" t="s">
        <v>2575</v>
      </c>
      <c r="D976" s="1">
        <v>46201</v>
      </c>
      <c r="E976" s="1">
        <v>46216</v>
      </c>
      <c r="F976">
        <v>16900.59</v>
      </c>
      <c r="G976" t="s">
        <v>2574</v>
      </c>
      <c r="H976">
        <v>16900.59</v>
      </c>
      <c r="I976">
        <v>0</v>
      </c>
      <c r="J976">
        <v>49</v>
      </c>
      <c r="K976" t="s">
        <v>2558</v>
      </c>
    </row>
    <row r="977" spans="1:11">
      <c r="A977" t="s">
        <v>2631</v>
      </c>
      <c r="B977" t="s">
        <v>1847</v>
      </c>
      <c r="C977" t="s">
        <v>2580</v>
      </c>
      <c r="D977" s="1">
        <v>46196</v>
      </c>
      <c r="E977" s="1">
        <v>46211</v>
      </c>
      <c r="F977">
        <v>22084.01</v>
      </c>
      <c r="G977" t="s">
        <v>2557</v>
      </c>
      <c r="H977">
        <v>22084.01</v>
      </c>
      <c r="I977">
        <v>0</v>
      </c>
      <c r="J977">
        <v>54</v>
      </c>
      <c r="K977" t="s">
        <v>2558</v>
      </c>
    </row>
    <row r="978" spans="1:11">
      <c r="A978" t="s">
        <v>2655</v>
      </c>
      <c r="B978" t="s">
        <v>1789</v>
      </c>
      <c r="C978" t="s">
        <v>2573</v>
      </c>
      <c r="D978" s="1">
        <v>46216</v>
      </c>
      <c r="E978" s="1">
        <v>46246</v>
      </c>
      <c r="F978">
        <v>19622.96</v>
      </c>
      <c r="G978" t="s">
        <v>2574</v>
      </c>
      <c r="H978">
        <v>6000.9400000000005</v>
      </c>
      <c r="I978">
        <v>13622.02</v>
      </c>
      <c r="J978">
        <v>19</v>
      </c>
      <c r="K978" t="s">
        <v>2647</v>
      </c>
    </row>
    <row r="979" spans="1:11">
      <c r="A979" t="s">
        <v>2631</v>
      </c>
      <c r="B979" t="s">
        <v>1849</v>
      </c>
      <c r="C979" t="s">
        <v>2608</v>
      </c>
      <c r="D979" s="1">
        <v>46197</v>
      </c>
      <c r="E979" s="1">
        <v>46242</v>
      </c>
      <c r="F979">
        <v>235131.87</v>
      </c>
      <c r="G979" t="s">
        <v>2560</v>
      </c>
      <c r="H979">
        <v>235131.87</v>
      </c>
      <c r="I979">
        <v>0</v>
      </c>
      <c r="J979">
        <v>23</v>
      </c>
      <c r="K979" t="s">
        <v>2558</v>
      </c>
    </row>
    <row r="980" spans="1:11">
      <c r="A980" t="s">
        <v>2655</v>
      </c>
      <c r="B980" t="s">
        <v>1791</v>
      </c>
      <c r="C980" t="s">
        <v>2595</v>
      </c>
      <c r="D980" s="1">
        <v>46219</v>
      </c>
      <c r="E980" s="1">
        <v>46249</v>
      </c>
      <c r="F980">
        <v>128025.24</v>
      </c>
      <c r="G980" t="s">
        <v>2568</v>
      </c>
      <c r="H980">
        <v>77164.820000000007</v>
      </c>
      <c r="I980">
        <v>50860.42</v>
      </c>
      <c r="J980">
        <v>16</v>
      </c>
      <c r="K980" t="s">
        <v>2647</v>
      </c>
    </row>
    <row r="981" spans="1:11">
      <c r="A981" t="s">
        <v>2631</v>
      </c>
      <c r="B981" t="s">
        <v>1895</v>
      </c>
      <c r="C981" t="s">
        <v>2612</v>
      </c>
      <c r="D981" s="1">
        <v>46197</v>
      </c>
      <c r="E981" s="1">
        <v>46227</v>
      </c>
      <c r="F981">
        <v>99266.6</v>
      </c>
      <c r="G981" t="s">
        <v>2566</v>
      </c>
      <c r="H981">
        <v>99266.6</v>
      </c>
      <c r="I981">
        <v>0</v>
      </c>
      <c r="J981">
        <v>38</v>
      </c>
      <c r="K981" t="s">
        <v>2558</v>
      </c>
    </row>
    <row r="982" spans="1:11">
      <c r="A982" t="s">
        <v>2655</v>
      </c>
      <c r="B982" t="s">
        <v>1793</v>
      </c>
      <c r="C982" t="s">
        <v>2561</v>
      </c>
      <c r="D982" s="1">
        <v>46220</v>
      </c>
      <c r="E982" s="1">
        <v>46265</v>
      </c>
      <c r="F982">
        <v>1193270.8500000001</v>
      </c>
      <c r="G982" t="s">
        <v>2562</v>
      </c>
      <c r="H982">
        <v>1193270.8500000001</v>
      </c>
      <c r="I982">
        <v>0</v>
      </c>
      <c r="J982">
        <v>0</v>
      </c>
      <c r="K982" t="s">
        <v>2558</v>
      </c>
    </row>
    <row r="983" spans="1:11">
      <c r="A983" t="s">
        <v>2631</v>
      </c>
      <c r="B983" t="s">
        <v>2431</v>
      </c>
      <c r="C983" t="s">
        <v>2571</v>
      </c>
      <c r="D983" s="1">
        <v>46197</v>
      </c>
      <c r="E983" s="1">
        <v>46242</v>
      </c>
      <c r="F983">
        <v>768460.32</v>
      </c>
      <c r="G983" t="s">
        <v>2568</v>
      </c>
      <c r="H983">
        <v>768460.32</v>
      </c>
      <c r="I983">
        <v>0</v>
      </c>
      <c r="J983">
        <v>23</v>
      </c>
      <c r="K983" t="s">
        <v>2558</v>
      </c>
    </row>
    <row r="984" spans="1:11">
      <c r="A984" t="s">
        <v>2655</v>
      </c>
      <c r="B984" t="s">
        <v>1795</v>
      </c>
      <c r="C984" t="s">
        <v>2616</v>
      </c>
      <c r="D984" s="1">
        <v>46222</v>
      </c>
      <c r="E984" s="1">
        <v>46237</v>
      </c>
      <c r="F984">
        <v>35295.35</v>
      </c>
      <c r="G984" t="s">
        <v>2560</v>
      </c>
      <c r="H984">
        <v>35295.35</v>
      </c>
      <c r="I984">
        <v>0</v>
      </c>
      <c r="J984">
        <v>28</v>
      </c>
      <c r="K984" t="s">
        <v>2558</v>
      </c>
    </row>
    <row r="985" spans="1:11">
      <c r="A985" t="s">
        <v>2655</v>
      </c>
      <c r="B985" t="s">
        <v>1797</v>
      </c>
      <c r="C985" t="s">
        <v>2612</v>
      </c>
      <c r="D985" s="1">
        <v>46223</v>
      </c>
      <c r="E985" s="1">
        <v>46253</v>
      </c>
      <c r="F985">
        <v>179199.85</v>
      </c>
      <c r="G985" t="s">
        <v>2566</v>
      </c>
      <c r="H985">
        <v>62307.19</v>
      </c>
      <c r="I985">
        <v>116892.66</v>
      </c>
      <c r="J985">
        <v>12</v>
      </c>
      <c r="K985" t="s">
        <v>2647</v>
      </c>
    </row>
    <row r="986" spans="1:11">
      <c r="A986" t="s">
        <v>2655</v>
      </c>
      <c r="B986" t="s">
        <v>1799</v>
      </c>
      <c r="C986" t="s">
        <v>2602</v>
      </c>
      <c r="D986" s="1">
        <v>46229</v>
      </c>
      <c r="E986" s="1">
        <v>46289</v>
      </c>
      <c r="F986">
        <v>117534.88</v>
      </c>
      <c r="G986" t="s">
        <v>2562</v>
      </c>
      <c r="H986">
        <v>117534.88</v>
      </c>
      <c r="I986">
        <v>0</v>
      </c>
      <c r="J986">
        <v>-24</v>
      </c>
      <c r="K986" t="s">
        <v>2558</v>
      </c>
    </row>
    <row r="987" spans="1:11">
      <c r="A987" t="s">
        <v>2655</v>
      </c>
      <c r="B987" t="s">
        <v>1801</v>
      </c>
      <c r="C987" t="s">
        <v>2598</v>
      </c>
      <c r="D987" s="1">
        <v>46232</v>
      </c>
      <c r="E987" s="1">
        <v>46262</v>
      </c>
      <c r="F987">
        <v>141369.46</v>
      </c>
      <c r="G987" t="s">
        <v>2566</v>
      </c>
      <c r="H987">
        <v>141369.46</v>
      </c>
      <c r="I987">
        <v>0</v>
      </c>
      <c r="J987">
        <v>3</v>
      </c>
      <c r="K987" t="s">
        <v>2558</v>
      </c>
    </row>
    <row r="988" spans="1:11">
      <c r="A988" t="s">
        <v>2631</v>
      </c>
      <c r="B988" t="s">
        <v>2306</v>
      </c>
      <c r="C988" t="s">
        <v>2623</v>
      </c>
      <c r="D988" s="1">
        <v>46198</v>
      </c>
      <c r="E988" s="1">
        <v>46228</v>
      </c>
      <c r="F988">
        <v>62276.49</v>
      </c>
      <c r="G988" t="s">
        <v>2562</v>
      </c>
      <c r="H988">
        <v>62276.49</v>
      </c>
      <c r="I988">
        <v>0</v>
      </c>
      <c r="J988">
        <v>37</v>
      </c>
      <c r="K988" t="s">
        <v>2558</v>
      </c>
    </row>
    <row r="989" spans="1:11">
      <c r="A989" t="s">
        <v>2631</v>
      </c>
      <c r="B989" t="s">
        <v>2678</v>
      </c>
      <c r="C989" t="s">
        <v>2576</v>
      </c>
      <c r="D989" s="1">
        <v>46198</v>
      </c>
      <c r="E989" s="1">
        <v>46243</v>
      </c>
      <c r="F989">
        <v>486256.34</v>
      </c>
      <c r="G989" t="s">
        <v>2566</v>
      </c>
      <c r="I989">
        <v>486256.34</v>
      </c>
      <c r="J989">
        <v>22</v>
      </c>
      <c r="K989" t="s">
        <v>2647</v>
      </c>
    </row>
    <row r="990" spans="1:11">
      <c r="A990" t="s">
        <v>2631</v>
      </c>
      <c r="B990" t="s">
        <v>1897</v>
      </c>
      <c r="C990" t="s">
        <v>2603</v>
      </c>
      <c r="D990" s="1">
        <v>46198</v>
      </c>
      <c r="E990" s="1">
        <v>46228</v>
      </c>
      <c r="F990">
        <v>44731.68</v>
      </c>
      <c r="G990" t="s">
        <v>2557</v>
      </c>
      <c r="H990">
        <v>44731.68</v>
      </c>
      <c r="I990">
        <v>0</v>
      </c>
      <c r="J990">
        <v>37</v>
      </c>
      <c r="K990" t="s">
        <v>2558</v>
      </c>
    </row>
    <row r="991" spans="1:11">
      <c r="A991" t="s">
        <v>2631</v>
      </c>
      <c r="B991" t="s">
        <v>1947</v>
      </c>
      <c r="C991" t="s">
        <v>2595</v>
      </c>
      <c r="D991" s="1">
        <v>46198</v>
      </c>
      <c r="E991" s="1">
        <v>46228</v>
      </c>
      <c r="F991">
        <v>192818.87</v>
      </c>
      <c r="G991" t="s">
        <v>2568</v>
      </c>
      <c r="H991">
        <v>192818.87</v>
      </c>
      <c r="I991">
        <v>0</v>
      </c>
      <c r="J991">
        <v>37</v>
      </c>
      <c r="K991" t="s">
        <v>2558</v>
      </c>
    </row>
    <row r="992" spans="1:11">
      <c r="A992" t="s">
        <v>2631</v>
      </c>
      <c r="B992" t="s">
        <v>2308</v>
      </c>
      <c r="C992" t="s">
        <v>2579</v>
      </c>
      <c r="D992" s="1">
        <v>46198</v>
      </c>
      <c r="E992" s="1">
        <v>46228</v>
      </c>
      <c r="F992">
        <v>870356.15</v>
      </c>
      <c r="G992" t="s">
        <v>2557</v>
      </c>
      <c r="H992">
        <v>870356.15</v>
      </c>
      <c r="I992">
        <v>0</v>
      </c>
      <c r="J992">
        <v>37</v>
      </c>
      <c r="K992" t="s">
        <v>2558</v>
      </c>
    </row>
    <row r="993" spans="1:11">
      <c r="A993" t="s">
        <v>2631</v>
      </c>
      <c r="B993" t="s">
        <v>2248</v>
      </c>
      <c r="C993" t="s">
        <v>2582</v>
      </c>
      <c r="D993" s="1">
        <v>46198</v>
      </c>
      <c r="E993" s="1">
        <v>46228</v>
      </c>
      <c r="F993">
        <v>167031.98000000001</v>
      </c>
      <c r="G993" t="s">
        <v>2557</v>
      </c>
      <c r="H993">
        <v>167031.98000000001</v>
      </c>
      <c r="I993">
        <v>0</v>
      </c>
      <c r="J993">
        <v>37</v>
      </c>
      <c r="K993" t="s">
        <v>2558</v>
      </c>
    </row>
    <row r="994" spans="1:11">
      <c r="A994" t="s">
        <v>2631</v>
      </c>
      <c r="B994" t="s">
        <v>2679</v>
      </c>
      <c r="C994" t="s">
        <v>2579</v>
      </c>
      <c r="D994" s="1">
        <v>46199</v>
      </c>
      <c r="E994" s="1">
        <v>46229</v>
      </c>
      <c r="F994">
        <v>1132382.67</v>
      </c>
      <c r="G994" t="s">
        <v>2557</v>
      </c>
      <c r="I994">
        <v>1132382.67</v>
      </c>
      <c r="J994">
        <v>36</v>
      </c>
      <c r="K994" t="s">
        <v>2636</v>
      </c>
    </row>
    <row r="995" spans="1:11">
      <c r="A995" t="s">
        <v>2631</v>
      </c>
      <c r="B995" t="s">
        <v>2206</v>
      </c>
      <c r="C995" t="s">
        <v>2595</v>
      </c>
      <c r="D995" s="1">
        <v>46199</v>
      </c>
      <c r="E995" s="1">
        <v>46229</v>
      </c>
      <c r="F995">
        <v>134175.16</v>
      </c>
      <c r="G995" t="s">
        <v>2568</v>
      </c>
      <c r="H995">
        <v>134175.16</v>
      </c>
      <c r="I995">
        <v>0</v>
      </c>
      <c r="J995">
        <v>36</v>
      </c>
      <c r="K995" t="s">
        <v>2558</v>
      </c>
    </row>
    <row r="996" spans="1:11">
      <c r="A996" t="s">
        <v>2631</v>
      </c>
      <c r="B996" t="s">
        <v>1828</v>
      </c>
      <c r="C996" t="s">
        <v>2602</v>
      </c>
      <c r="D996" s="1">
        <v>46199</v>
      </c>
      <c r="E996" s="1">
        <v>46259</v>
      </c>
      <c r="F996">
        <v>87856.37</v>
      </c>
      <c r="G996" t="s">
        <v>2562</v>
      </c>
      <c r="H996">
        <v>87856.37</v>
      </c>
      <c r="I996">
        <v>0</v>
      </c>
      <c r="J996">
        <v>6</v>
      </c>
      <c r="K996" t="s">
        <v>2558</v>
      </c>
    </row>
    <row r="997" spans="1:11">
      <c r="A997" t="s">
        <v>2655</v>
      </c>
      <c r="B997" t="s">
        <v>1830</v>
      </c>
      <c r="C997" t="s">
        <v>2561</v>
      </c>
      <c r="D997" s="1">
        <v>46206</v>
      </c>
      <c r="E997" s="1">
        <v>46251</v>
      </c>
      <c r="F997">
        <v>451480</v>
      </c>
      <c r="G997" t="s">
        <v>2562</v>
      </c>
      <c r="H997">
        <v>451480</v>
      </c>
      <c r="I997">
        <v>0</v>
      </c>
      <c r="J997">
        <v>14</v>
      </c>
      <c r="K997" t="s">
        <v>2558</v>
      </c>
    </row>
    <row r="998" spans="1:11">
      <c r="A998" t="s">
        <v>2655</v>
      </c>
      <c r="B998" t="s">
        <v>1832</v>
      </c>
      <c r="C998" t="s">
        <v>2564</v>
      </c>
      <c r="D998" s="1">
        <v>46208</v>
      </c>
      <c r="E998" s="1">
        <v>46268</v>
      </c>
      <c r="F998">
        <v>240639.61</v>
      </c>
      <c r="G998" t="s">
        <v>2562</v>
      </c>
      <c r="H998">
        <v>240639.61</v>
      </c>
      <c r="I998">
        <v>0</v>
      </c>
      <c r="J998">
        <v>-3</v>
      </c>
      <c r="K998" t="s">
        <v>2558</v>
      </c>
    </row>
    <row r="999" spans="1:11">
      <c r="A999" t="s">
        <v>2631</v>
      </c>
      <c r="B999" t="s">
        <v>2364</v>
      </c>
      <c r="C999" t="s">
        <v>2569</v>
      </c>
      <c r="D999" s="1">
        <v>46199</v>
      </c>
      <c r="E999" s="1">
        <v>46214</v>
      </c>
      <c r="F999">
        <v>48436.39</v>
      </c>
      <c r="G999" t="s">
        <v>2557</v>
      </c>
      <c r="H999">
        <v>48436.39</v>
      </c>
      <c r="I999">
        <v>0</v>
      </c>
      <c r="J999">
        <v>51</v>
      </c>
      <c r="K999" t="s">
        <v>2558</v>
      </c>
    </row>
    <row r="1000" spans="1:11">
      <c r="A1000" t="s">
        <v>2655</v>
      </c>
      <c r="B1000" t="s">
        <v>1835</v>
      </c>
      <c r="C1000" t="s">
        <v>2608</v>
      </c>
      <c r="D1000" s="1">
        <v>46227</v>
      </c>
      <c r="E1000" s="1">
        <v>46272</v>
      </c>
      <c r="F1000">
        <v>221386.35</v>
      </c>
      <c r="G1000" t="s">
        <v>2560</v>
      </c>
      <c r="H1000">
        <v>221386.35</v>
      </c>
      <c r="I1000">
        <v>0</v>
      </c>
      <c r="J1000">
        <v>-7</v>
      </c>
      <c r="K1000" t="s">
        <v>2558</v>
      </c>
    </row>
    <row r="1001" spans="1:11">
      <c r="A1001" t="s">
        <v>2655</v>
      </c>
      <c r="B1001" t="s">
        <v>1837</v>
      </c>
      <c r="C1001" t="s">
        <v>2602</v>
      </c>
      <c r="D1001" s="1">
        <v>46231</v>
      </c>
      <c r="E1001" s="1">
        <v>46291</v>
      </c>
      <c r="F1001">
        <v>70485.009999999995</v>
      </c>
      <c r="G1001" t="s">
        <v>2562</v>
      </c>
      <c r="H1001">
        <v>70485.009999999995</v>
      </c>
      <c r="I1001">
        <v>0</v>
      </c>
      <c r="J1001">
        <v>-26</v>
      </c>
      <c r="K1001" t="s">
        <v>2558</v>
      </c>
    </row>
    <row r="1002" spans="1:11">
      <c r="A1002" t="s">
        <v>2631</v>
      </c>
      <c r="B1002" t="s">
        <v>2680</v>
      </c>
      <c r="C1002" t="s">
        <v>2576</v>
      </c>
      <c r="D1002" s="1">
        <v>46199</v>
      </c>
      <c r="E1002" s="1">
        <v>46244</v>
      </c>
      <c r="F1002">
        <v>165245.9</v>
      </c>
      <c r="G1002" t="s">
        <v>2566</v>
      </c>
      <c r="I1002">
        <v>165245.9</v>
      </c>
      <c r="J1002">
        <v>21</v>
      </c>
      <c r="K1002" t="s">
        <v>2647</v>
      </c>
    </row>
    <row r="1003" spans="1:11">
      <c r="A1003" t="s">
        <v>2631</v>
      </c>
      <c r="B1003" t="s">
        <v>2681</v>
      </c>
      <c r="C1003" t="s">
        <v>2587</v>
      </c>
      <c r="D1003" s="1">
        <v>46199</v>
      </c>
      <c r="E1003" s="1">
        <v>46259</v>
      </c>
      <c r="F1003">
        <v>275782.63</v>
      </c>
      <c r="G1003" t="s">
        <v>2568</v>
      </c>
      <c r="I1003">
        <v>275782.63</v>
      </c>
      <c r="J1003">
        <v>6</v>
      </c>
      <c r="K1003" t="s">
        <v>2647</v>
      </c>
    </row>
    <row r="1004" spans="1:11">
      <c r="A1004" t="s">
        <v>2631</v>
      </c>
      <c r="B1004" t="s">
        <v>1851</v>
      </c>
      <c r="C1004" t="s">
        <v>2588</v>
      </c>
      <c r="D1004" s="1">
        <v>46199</v>
      </c>
      <c r="E1004" s="1">
        <v>46229</v>
      </c>
      <c r="F1004">
        <v>191643.33</v>
      </c>
      <c r="G1004" t="s">
        <v>2562</v>
      </c>
      <c r="H1004">
        <v>191643.33</v>
      </c>
      <c r="I1004">
        <v>0</v>
      </c>
      <c r="J1004">
        <v>36</v>
      </c>
      <c r="K1004" t="s">
        <v>2558</v>
      </c>
    </row>
    <row r="1005" spans="1:11">
      <c r="A1005" t="s">
        <v>2631</v>
      </c>
      <c r="B1005" t="s">
        <v>1899</v>
      </c>
      <c r="C1005" t="s">
        <v>2573</v>
      </c>
      <c r="D1005" s="1">
        <v>46199</v>
      </c>
      <c r="E1005" s="1">
        <v>46229</v>
      </c>
      <c r="F1005">
        <v>161848.87</v>
      </c>
      <c r="G1005" t="s">
        <v>2574</v>
      </c>
      <c r="H1005">
        <v>161848.87</v>
      </c>
      <c r="I1005">
        <v>0</v>
      </c>
      <c r="J1005">
        <v>36</v>
      </c>
      <c r="K1005" t="s">
        <v>2558</v>
      </c>
    </row>
    <row r="1006" spans="1:11">
      <c r="A1006" t="s">
        <v>2655</v>
      </c>
      <c r="B1006" t="s">
        <v>1853</v>
      </c>
      <c r="C1006" t="s">
        <v>2569</v>
      </c>
      <c r="D1006" s="1">
        <v>46208</v>
      </c>
      <c r="E1006" s="1">
        <v>46223</v>
      </c>
      <c r="F1006">
        <v>21560.65</v>
      </c>
      <c r="G1006" t="s">
        <v>2557</v>
      </c>
      <c r="H1006">
        <v>21560.65</v>
      </c>
      <c r="I1006">
        <v>0</v>
      </c>
      <c r="J1006">
        <v>42</v>
      </c>
      <c r="K1006" t="s">
        <v>2558</v>
      </c>
    </row>
    <row r="1007" spans="1:11">
      <c r="A1007" t="s">
        <v>2655</v>
      </c>
      <c r="B1007" t="s">
        <v>1855</v>
      </c>
      <c r="C1007" t="s">
        <v>2569</v>
      </c>
      <c r="D1007" s="1">
        <v>46221</v>
      </c>
      <c r="E1007" s="1">
        <v>46236</v>
      </c>
      <c r="F1007">
        <v>60510.86</v>
      </c>
      <c r="G1007" t="s">
        <v>2557</v>
      </c>
      <c r="H1007">
        <v>60510.86</v>
      </c>
      <c r="I1007">
        <v>0</v>
      </c>
      <c r="J1007">
        <v>29</v>
      </c>
      <c r="K1007" t="s">
        <v>2558</v>
      </c>
    </row>
    <row r="1008" spans="1:11">
      <c r="A1008" t="s">
        <v>2655</v>
      </c>
      <c r="B1008" t="s">
        <v>1857</v>
      </c>
      <c r="C1008" t="s">
        <v>2599</v>
      </c>
      <c r="D1008" s="1">
        <v>46222</v>
      </c>
      <c r="E1008" s="1">
        <v>46282</v>
      </c>
      <c r="F1008">
        <v>1049132.76</v>
      </c>
      <c r="G1008" t="s">
        <v>2562</v>
      </c>
      <c r="H1008">
        <v>575133.57999999996</v>
      </c>
      <c r="I1008">
        <v>473999.18</v>
      </c>
      <c r="J1008">
        <v>-17</v>
      </c>
      <c r="K1008" t="s">
        <v>2669</v>
      </c>
    </row>
    <row r="1009" spans="1:11">
      <c r="A1009" t="s">
        <v>2655</v>
      </c>
      <c r="B1009" t="s">
        <v>1859</v>
      </c>
      <c r="C1009" t="s">
        <v>2611</v>
      </c>
      <c r="D1009" s="1">
        <v>46228</v>
      </c>
      <c r="E1009" s="1">
        <v>46273</v>
      </c>
      <c r="F1009">
        <v>243891.03</v>
      </c>
      <c r="G1009" t="s">
        <v>2566</v>
      </c>
      <c r="H1009">
        <v>243891.03</v>
      </c>
      <c r="I1009">
        <v>0</v>
      </c>
      <c r="J1009">
        <v>-8</v>
      </c>
      <c r="K1009" t="s">
        <v>2558</v>
      </c>
    </row>
    <row r="1010" spans="1:11">
      <c r="A1010" t="s">
        <v>2655</v>
      </c>
      <c r="B1010" t="s">
        <v>1861</v>
      </c>
      <c r="C1010" t="s">
        <v>2602</v>
      </c>
      <c r="D1010" s="1">
        <v>46230</v>
      </c>
      <c r="E1010" s="1">
        <v>46290</v>
      </c>
      <c r="F1010">
        <v>698784.1</v>
      </c>
      <c r="G1010" t="s">
        <v>2562</v>
      </c>
      <c r="H1010">
        <v>698784.1</v>
      </c>
      <c r="I1010">
        <v>0</v>
      </c>
      <c r="J1010">
        <v>-25</v>
      </c>
      <c r="K1010" t="s">
        <v>2558</v>
      </c>
    </row>
    <row r="1011" spans="1:11">
      <c r="A1011" t="s">
        <v>2631</v>
      </c>
      <c r="B1011" t="s">
        <v>1949</v>
      </c>
      <c r="C1011" t="s">
        <v>2595</v>
      </c>
      <c r="D1011" s="1">
        <v>46200</v>
      </c>
      <c r="E1011" s="1">
        <v>46230</v>
      </c>
      <c r="F1011">
        <v>103985.58</v>
      </c>
      <c r="G1011" t="s">
        <v>2568</v>
      </c>
      <c r="H1011">
        <v>103985.58</v>
      </c>
      <c r="I1011">
        <v>0</v>
      </c>
      <c r="J1011">
        <v>35</v>
      </c>
      <c r="K1011" t="s">
        <v>2558</v>
      </c>
    </row>
    <row r="1012" spans="1:11">
      <c r="A1012" t="s">
        <v>2655</v>
      </c>
      <c r="B1012" t="s">
        <v>1863</v>
      </c>
      <c r="C1012" t="s">
        <v>2588</v>
      </c>
      <c r="D1012" s="1">
        <v>46230</v>
      </c>
      <c r="E1012" s="1">
        <v>46260</v>
      </c>
      <c r="F1012">
        <v>92008.36</v>
      </c>
      <c r="G1012" t="s">
        <v>2562</v>
      </c>
      <c r="H1012">
        <v>92008.36</v>
      </c>
      <c r="I1012">
        <v>0</v>
      </c>
      <c r="J1012">
        <v>5</v>
      </c>
      <c r="K1012" t="s">
        <v>2558</v>
      </c>
    </row>
    <row r="1013" spans="1:11">
      <c r="A1013" t="s">
        <v>2631</v>
      </c>
      <c r="B1013" t="s">
        <v>2462</v>
      </c>
      <c r="C1013" t="s">
        <v>2569</v>
      </c>
      <c r="D1013" s="1">
        <v>46200</v>
      </c>
      <c r="E1013" s="1">
        <v>46215</v>
      </c>
      <c r="F1013">
        <v>16083.2</v>
      </c>
      <c r="G1013" t="s">
        <v>2557</v>
      </c>
      <c r="H1013">
        <v>16083.2</v>
      </c>
      <c r="I1013">
        <v>0</v>
      </c>
      <c r="J1013">
        <v>50</v>
      </c>
      <c r="K1013" t="s">
        <v>2558</v>
      </c>
    </row>
    <row r="1014" spans="1:11">
      <c r="A1014" t="s">
        <v>2631</v>
      </c>
      <c r="B1014" t="s">
        <v>2682</v>
      </c>
      <c r="C1014" t="s">
        <v>2583</v>
      </c>
      <c r="D1014" s="1">
        <v>46200</v>
      </c>
      <c r="E1014" s="1">
        <v>46260</v>
      </c>
      <c r="F1014">
        <v>391122.33</v>
      </c>
      <c r="G1014" t="s">
        <v>2562</v>
      </c>
      <c r="I1014">
        <v>391122.33</v>
      </c>
      <c r="J1014">
        <v>5</v>
      </c>
      <c r="K1014" t="s">
        <v>2647</v>
      </c>
    </row>
    <row r="1015" spans="1:11">
      <c r="A1015" t="s">
        <v>2631</v>
      </c>
      <c r="B1015" t="s">
        <v>2310</v>
      </c>
      <c r="C1015" t="s">
        <v>2582</v>
      </c>
      <c r="D1015" s="1">
        <v>46200</v>
      </c>
      <c r="E1015" s="1">
        <v>46230</v>
      </c>
      <c r="F1015">
        <v>22661.5</v>
      </c>
      <c r="G1015" t="s">
        <v>2557</v>
      </c>
      <c r="H1015">
        <v>22661.5</v>
      </c>
      <c r="I1015">
        <v>0</v>
      </c>
      <c r="J1015">
        <v>35</v>
      </c>
      <c r="K1015" t="s">
        <v>2558</v>
      </c>
    </row>
    <row r="1016" spans="1:11">
      <c r="A1016" t="s">
        <v>2631</v>
      </c>
      <c r="B1016" t="s">
        <v>2464</v>
      </c>
      <c r="C1016" t="s">
        <v>2577</v>
      </c>
      <c r="D1016" s="1">
        <v>46200</v>
      </c>
      <c r="E1016" s="1">
        <v>46230</v>
      </c>
      <c r="F1016">
        <v>11940.8</v>
      </c>
      <c r="G1016" t="s">
        <v>2562</v>
      </c>
      <c r="H1016">
        <v>11940.8</v>
      </c>
      <c r="I1016">
        <v>0</v>
      </c>
      <c r="J1016">
        <v>35</v>
      </c>
      <c r="K1016" t="s">
        <v>2558</v>
      </c>
    </row>
    <row r="1017" spans="1:11">
      <c r="A1017" t="s">
        <v>2631</v>
      </c>
      <c r="B1017" t="s">
        <v>2312</v>
      </c>
      <c r="C1017" t="s">
        <v>2588</v>
      </c>
      <c r="D1017" s="1">
        <v>46200</v>
      </c>
      <c r="E1017" s="1">
        <v>46230</v>
      </c>
      <c r="F1017">
        <v>348863.68</v>
      </c>
      <c r="G1017" t="s">
        <v>2562</v>
      </c>
      <c r="H1017">
        <v>348863.68</v>
      </c>
      <c r="I1017">
        <v>0</v>
      </c>
      <c r="J1017">
        <v>35</v>
      </c>
      <c r="K1017" t="s">
        <v>2558</v>
      </c>
    </row>
    <row r="1018" spans="1:11">
      <c r="A1018" t="s">
        <v>2631</v>
      </c>
      <c r="B1018" t="s">
        <v>2466</v>
      </c>
      <c r="C1018" t="s">
        <v>2556</v>
      </c>
      <c r="D1018" s="1">
        <v>46201</v>
      </c>
      <c r="E1018" s="1">
        <v>46231</v>
      </c>
      <c r="F1018">
        <v>95766.06</v>
      </c>
      <c r="G1018" t="s">
        <v>2557</v>
      </c>
      <c r="H1018">
        <v>95766.06</v>
      </c>
      <c r="I1018">
        <v>0</v>
      </c>
      <c r="J1018">
        <v>34</v>
      </c>
      <c r="K1018" t="s">
        <v>2558</v>
      </c>
    </row>
    <row r="1019" spans="1:11">
      <c r="A1019" t="s">
        <v>2631</v>
      </c>
      <c r="B1019" t="s">
        <v>2251</v>
      </c>
      <c r="C1019" t="s">
        <v>2602</v>
      </c>
      <c r="D1019" s="1">
        <v>46201</v>
      </c>
      <c r="E1019" s="1">
        <v>46261</v>
      </c>
      <c r="F1019">
        <v>69279.73</v>
      </c>
      <c r="G1019" t="s">
        <v>2562</v>
      </c>
      <c r="H1019">
        <v>40287.18</v>
      </c>
      <c r="I1019">
        <v>28992.55</v>
      </c>
      <c r="J1019">
        <v>4</v>
      </c>
      <c r="K1019" t="s">
        <v>2647</v>
      </c>
    </row>
    <row r="1020" spans="1:11">
      <c r="A1020" t="s">
        <v>2631</v>
      </c>
      <c r="B1020" t="s">
        <v>2683</v>
      </c>
      <c r="C1020" t="s">
        <v>2559</v>
      </c>
      <c r="D1020" s="1">
        <v>46202</v>
      </c>
      <c r="E1020" s="1">
        <v>46217</v>
      </c>
      <c r="F1020">
        <v>91285.58</v>
      </c>
      <c r="G1020" t="s">
        <v>2560</v>
      </c>
      <c r="I1020">
        <v>91285.58</v>
      </c>
      <c r="J1020">
        <v>48</v>
      </c>
      <c r="K1020" t="s">
        <v>2636</v>
      </c>
    </row>
    <row r="1021" spans="1:11">
      <c r="A1021" t="s">
        <v>2631</v>
      </c>
      <c r="B1021" t="s">
        <v>1993</v>
      </c>
      <c r="C1021" t="s">
        <v>2570</v>
      </c>
      <c r="D1021" s="1">
        <v>46202</v>
      </c>
      <c r="E1021" s="1">
        <v>46232</v>
      </c>
      <c r="F1021">
        <v>104505.31</v>
      </c>
      <c r="G1021" t="s">
        <v>2557</v>
      </c>
      <c r="H1021">
        <v>104505.31</v>
      </c>
      <c r="I1021">
        <v>0</v>
      </c>
      <c r="J1021">
        <v>33</v>
      </c>
      <c r="K1021" t="s">
        <v>2558</v>
      </c>
    </row>
    <row r="1022" spans="1:11">
      <c r="A1022" t="s">
        <v>2655</v>
      </c>
      <c r="B1022" t="s">
        <v>1903</v>
      </c>
      <c r="C1022" t="s">
        <v>2603</v>
      </c>
      <c r="D1022" s="1">
        <v>46215</v>
      </c>
      <c r="E1022" s="1">
        <v>46245</v>
      </c>
      <c r="F1022">
        <v>28565.09</v>
      </c>
      <c r="G1022" t="s">
        <v>2557</v>
      </c>
      <c r="H1022">
        <v>28565.09</v>
      </c>
      <c r="I1022">
        <v>0</v>
      </c>
      <c r="J1022">
        <v>20</v>
      </c>
      <c r="K1022" t="s">
        <v>2558</v>
      </c>
    </row>
    <row r="1023" spans="1:11">
      <c r="A1023" t="s">
        <v>2655</v>
      </c>
      <c r="B1023" t="s">
        <v>1905</v>
      </c>
      <c r="C1023" t="s">
        <v>2561</v>
      </c>
      <c r="D1023" s="1">
        <v>46215</v>
      </c>
      <c r="E1023" s="1">
        <v>46260</v>
      </c>
      <c r="F1023">
        <v>150172.91</v>
      </c>
      <c r="G1023" t="s">
        <v>2562</v>
      </c>
      <c r="H1023">
        <v>150172.91</v>
      </c>
      <c r="I1023">
        <v>0</v>
      </c>
      <c r="J1023">
        <v>5</v>
      </c>
      <c r="K1023" t="s">
        <v>2558</v>
      </c>
    </row>
    <row r="1024" spans="1:11">
      <c r="A1024" t="s">
        <v>2631</v>
      </c>
      <c r="B1024" t="s">
        <v>1995</v>
      </c>
      <c r="C1024" t="s">
        <v>2556</v>
      </c>
      <c r="D1024" s="1">
        <v>46202</v>
      </c>
      <c r="E1024" s="1">
        <v>46232</v>
      </c>
      <c r="F1024">
        <v>95184.34</v>
      </c>
      <c r="G1024" t="s">
        <v>2557</v>
      </c>
      <c r="H1024">
        <v>95184.34</v>
      </c>
      <c r="I1024">
        <v>0</v>
      </c>
      <c r="J1024">
        <v>33</v>
      </c>
      <c r="K1024" t="s">
        <v>2558</v>
      </c>
    </row>
    <row r="1025" spans="1:11">
      <c r="A1025" t="s">
        <v>2655</v>
      </c>
      <c r="B1025" t="s">
        <v>1908</v>
      </c>
      <c r="C1025" t="s">
        <v>2580</v>
      </c>
      <c r="D1025" s="1">
        <v>46216</v>
      </c>
      <c r="E1025" s="1">
        <v>46231</v>
      </c>
      <c r="F1025">
        <v>30463.82</v>
      </c>
      <c r="G1025" t="s">
        <v>2557</v>
      </c>
      <c r="H1025">
        <v>30463.82</v>
      </c>
      <c r="I1025">
        <v>0</v>
      </c>
      <c r="J1025">
        <v>34</v>
      </c>
      <c r="K1025" t="s">
        <v>2558</v>
      </c>
    </row>
    <row r="1026" spans="1:11">
      <c r="A1026" t="s">
        <v>2655</v>
      </c>
      <c r="B1026" t="s">
        <v>1910</v>
      </c>
      <c r="C1026" t="s">
        <v>2604</v>
      </c>
      <c r="D1026" s="1">
        <v>46217</v>
      </c>
      <c r="E1026" s="1">
        <v>46262</v>
      </c>
      <c r="F1026">
        <v>557484.42000000004</v>
      </c>
      <c r="G1026" t="s">
        <v>2562</v>
      </c>
      <c r="H1026">
        <v>557484.42000000004</v>
      </c>
      <c r="I1026">
        <v>0</v>
      </c>
      <c r="J1026">
        <v>3</v>
      </c>
      <c r="K1026" t="s">
        <v>2558</v>
      </c>
    </row>
    <row r="1027" spans="1:11">
      <c r="A1027" t="s">
        <v>2631</v>
      </c>
      <c r="B1027" t="s">
        <v>2468</v>
      </c>
      <c r="C1027" t="s">
        <v>2575</v>
      </c>
      <c r="D1027" s="1">
        <v>46203</v>
      </c>
      <c r="E1027" s="1">
        <v>46218</v>
      </c>
      <c r="F1027">
        <v>28476</v>
      </c>
      <c r="G1027" t="s">
        <v>2574</v>
      </c>
      <c r="H1027">
        <v>28476</v>
      </c>
      <c r="I1027">
        <v>0</v>
      </c>
      <c r="J1027">
        <v>47</v>
      </c>
      <c r="K1027" t="s">
        <v>2558</v>
      </c>
    </row>
    <row r="1028" spans="1:11">
      <c r="A1028" t="s">
        <v>2655</v>
      </c>
      <c r="B1028" t="s">
        <v>1913</v>
      </c>
      <c r="C1028" t="s">
        <v>2588</v>
      </c>
      <c r="D1028" s="1">
        <v>46222</v>
      </c>
      <c r="E1028" s="1">
        <v>46252</v>
      </c>
      <c r="F1028">
        <v>325370.12</v>
      </c>
      <c r="G1028" t="s">
        <v>2562</v>
      </c>
      <c r="H1028">
        <v>325370.12</v>
      </c>
      <c r="I1028">
        <v>0</v>
      </c>
      <c r="J1028">
        <v>13</v>
      </c>
      <c r="K1028" t="s">
        <v>2558</v>
      </c>
    </row>
    <row r="1029" spans="1:11">
      <c r="A1029" t="s">
        <v>2631</v>
      </c>
      <c r="B1029" t="s">
        <v>2684</v>
      </c>
      <c r="C1029" t="s">
        <v>2583</v>
      </c>
      <c r="D1029" s="1">
        <v>46203</v>
      </c>
      <c r="E1029" s="1">
        <v>46263</v>
      </c>
      <c r="F1029">
        <v>182202.63</v>
      </c>
      <c r="G1029" t="s">
        <v>2562</v>
      </c>
      <c r="I1029">
        <v>182202.63</v>
      </c>
      <c r="J1029">
        <v>2</v>
      </c>
      <c r="K1029" t="s">
        <v>2647</v>
      </c>
    </row>
    <row r="1030" spans="1:11">
      <c r="A1030" t="s">
        <v>2655</v>
      </c>
      <c r="B1030" t="s">
        <v>1915</v>
      </c>
      <c r="C1030" t="s">
        <v>2579</v>
      </c>
      <c r="D1030" s="1">
        <v>46229</v>
      </c>
      <c r="E1030" s="1">
        <v>46259</v>
      </c>
      <c r="F1030">
        <v>786856.6</v>
      </c>
      <c r="G1030" t="s">
        <v>2557</v>
      </c>
      <c r="H1030">
        <v>786856.6</v>
      </c>
      <c r="I1030">
        <v>0</v>
      </c>
      <c r="J1030">
        <v>6</v>
      </c>
      <c r="K1030" t="s">
        <v>2558</v>
      </c>
    </row>
    <row r="1031" spans="1:11">
      <c r="A1031" t="s">
        <v>2631</v>
      </c>
      <c r="B1031" t="s">
        <v>2433</v>
      </c>
      <c r="C1031" t="s">
        <v>2569</v>
      </c>
      <c r="D1031" s="1">
        <v>46203</v>
      </c>
      <c r="E1031" s="1">
        <v>46218</v>
      </c>
      <c r="F1031">
        <v>63098.81</v>
      </c>
      <c r="G1031" t="s">
        <v>2557</v>
      </c>
      <c r="H1031">
        <v>63098.81</v>
      </c>
      <c r="I1031">
        <v>0</v>
      </c>
      <c r="J1031">
        <v>47</v>
      </c>
      <c r="K1031" t="s">
        <v>2558</v>
      </c>
    </row>
    <row r="1032" spans="1:11">
      <c r="A1032" t="s">
        <v>2631</v>
      </c>
      <c r="B1032" t="s">
        <v>2685</v>
      </c>
      <c r="C1032" t="s">
        <v>2610</v>
      </c>
      <c r="D1032" s="1">
        <v>46203</v>
      </c>
      <c r="E1032" s="1">
        <v>46263</v>
      </c>
      <c r="F1032">
        <v>132127.26</v>
      </c>
      <c r="G1032" t="s">
        <v>2574</v>
      </c>
      <c r="I1032">
        <v>132127.26</v>
      </c>
      <c r="J1032">
        <v>2</v>
      </c>
      <c r="K1032" t="s">
        <v>2647</v>
      </c>
    </row>
    <row r="1033" spans="1:11">
      <c r="A1033" t="s">
        <v>2631</v>
      </c>
      <c r="B1033" t="s">
        <v>2686</v>
      </c>
      <c r="C1033" t="s">
        <v>2612</v>
      </c>
      <c r="D1033" s="1">
        <v>46203</v>
      </c>
      <c r="E1033" s="1">
        <v>46233</v>
      </c>
      <c r="F1033">
        <v>23012.44</v>
      </c>
      <c r="G1033" t="s">
        <v>2566</v>
      </c>
      <c r="I1033">
        <v>23012.44</v>
      </c>
      <c r="J1033">
        <v>32</v>
      </c>
      <c r="K1033" t="s">
        <v>2636</v>
      </c>
    </row>
    <row r="1034" spans="1:11">
      <c r="A1034" t="s">
        <v>2631</v>
      </c>
      <c r="B1034" t="s">
        <v>2208</v>
      </c>
      <c r="C1034" t="s">
        <v>2569</v>
      </c>
      <c r="D1034" s="1">
        <v>46203</v>
      </c>
      <c r="E1034" s="1">
        <v>46218</v>
      </c>
      <c r="F1034">
        <v>59032.56</v>
      </c>
      <c r="G1034" t="s">
        <v>2557</v>
      </c>
      <c r="H1034">
        <v>59032.56</v>
      </c>
      <c r="I1034">
        <v>0</v>
      </c>
      <c r="J1034">
        <v>47</v>
      </c>
      <c r="K1034" t="s">
        <v>2558</v>
      </c>
    </row>
    <row r="1035" spans="1:11">
      <c r="A1035" t="s">
        <v>2655</v>
      </c>
      <c r="B1035" t="s">
        <v>1997</v>
      </c>
      <c r="C1035" t="s">
        <v>2608</v>
      </c>
      <c r="D1035" s="1">
        <v>46204</v>
      </c>
      <c r="E1035" s="1">
        <v>46249</v>
      </c>
      <c r="F1035">
        <v>70336.95</v>
      </c>
      <c r="G1035" t="s">
        <v>2560</v>
      </c>
      <c r="H1035">
        <v>70336.95</v>
      </c>
      <c r="I1035">
        <v>0</v>
      </c>
      <c r="J1035">
        <v>16</v>
      </c>
      <c r="K1035" t="s">
        <v>2558</v>
      </c>
    </row>
    <row r="1036" spans="1:11">
      <c r="A1036" t="s">
        <v>2655</v>
      </c>
      <c r="B1036" t="s">
        <v>2366</v>
      </c>
      <c r="C1036" t="s">
        <v>2570</v>
      </c>
      <c r="D1036" s="1">
        <v>46204</v>
      </c>
      <c r="E1036" s="1">
        <v>46234</v>
      </c>
      <c r="F1036">
        <v>2000000</v>
      </c>
      <c r="G1036" t="s">
        <v>2557</v>
      </c>
      <c r="H1036">
        <v>2000000</v>
      </c>
      <c r="I1036">
        <v>0</v>
      </c>
      <c r="J1036">
        <v>31</v>
      </c>
      <c r="K1036" t="s">
        <v>2558</v>
      </c>
    </row>
    <row r="1037" spans="1:11">
      <c r="A1037" t="s">
        <v>2655</v>
      </c>
      <c r="B1037" t="s">
        <v>1952</v>
      </c>
      <c r="C1037" t="s">
        <v>2576</v>
      </c>
      <c r="D1037" s="1">
        <v>46218</v>
      </c>
      <c r="E1037" s="1">
        <v>46263</v>
      </c>
      <c r="F1037">
        <v>507305.9</v>
      </c>
      <c r="G1037" t="s">
        <v>2566</v>
      </c>
      <c r="H1037">
        <v>507305.9</v>
      </c>
      <c r="I1037">
        <v>0</v>
      </c>
      <c r="J1037">
        <v>2</v>
      </c>
      <c r="K1037" t="s">
        <v>2558</v>
      </c>
    </row>
    <row r="1038" spans="1:11">
      <c r="A1038" t="s">
        <v>2655</v>
      </c>
      <c r="B1038" t="s">
        <v>1954</v>
      </c>
      <c r="C1038" t="s">
        <v>2569</v>
      </c>
      <c r="D1038" s="1">
        <v>46221</v>
      </c>
      <c r="E1038" s="1">
        <v>46236</v>
      </c>
      <c r="F1038">
        <v>5289.05</v>
      </c>
      <c r="G1038" t="s">
        <v>2557</v>
      </c>
      <c r="H1038">
        <v>5289.05</v>
      </c>
      <c r="I1038">
        <v>0</v>
      </c>
      <c r="J1038">
        <v>29</v>
      </c>
      <c r="K1038" t="s">
        <v>2558</v>
      </c>
    </row>
    <row r="1039" spans="1:11">
      <c r="A1039" t="s">
        <v>2655</v>
      </c>
      <c r="B1039" t="s">
        <v>2687</v>
      </c>
      <c r="C1039" t="s">
        <v>2556</v>
      </c>
      <c r="D1039" s="1">
        <v>46204</v>
      </c>
      <c r="E1039" s="1">
        <v>46234</v>
      </c>
      <c r="F1039">
        <v>152812.35</v>
      </c>
      <c r="G1039" t="s">
        <v>2557</v>
      </c>
      <c r="I1039">
        <v>152812.35</v>
      </c>
      <c r="J1039">
        <v>31</v>
      </c>
      <c r="K1039" t="s">
        <v>2636</v>
      </c>
    </row>
    <row r="1040" spans="1:11">
      <c r="A1040" t="s">
        <v>2655</v>
      </c>
      <c r="B1040" t="s">
        <v>1956</v>
      </c>
      <c r="C1040" t="s">
        <v>2602</v>
      </c>
      <c r="D1040" s="1">
        <v>46225</v>
      </c>
      <c r="E1040" s="1">
        <v>46285</v>
      </c>
      <c r="F1040">
        <v>273433.34000000003</v>
      </c>
      <c r="G1040" t="s">
        <v>2562</v>
      </c>
      <c r="H1040">
        <v>273433.34000000003</v>
      </c>
      <c r="I1040">
        <v>0</v>
      </c>
      <c r="J1040">
        <v>-20</v>
      </c>
      <c r="K1040" t="s">
        <v>2558</v>
      </c>
    </row>
    <row r="1041" spans="1:11">
      <c r="A1041" t="s">
        <v>2655</v>
      </c>
      <c r="B1041" t="s">
        <v>2688</v>
      </c>
      <c r="C1041" t="s">
        <v>2582</v>
      </c>
      <c r="D1041" s="1">
        <v>46204</v>
      </c>
      <c r="E1041" s="1">
        <v>46234</v>
      </c>
      <c r="F1041">
        <v>121271.58</v>
      </c>
      <c r="G1041" t="s">
        <v>2557</v>
      </c>
      <c r="I1041">
        <v>121271.58</v>
      </c>
      <c r="J1041">
        <v>31</v>
      </c>
      <c r="K1041" t="s">
        <v>2636</v>
      </c>
    </row>
    <row r="1042" spans="1:11">
      <c r="A1042" t="s">
        <v>2655</v>
      </c>
      <c r="B1042" t="s">
        <v>1958</v>
      </c>
      <c r="C1042" t="s">
        <v>2620</v>
      </c>
      <c r="D1042" s="1">
        <v>46229</v>
      </c>
      <c r="E1042" s="1">
        <v>46259</v>
      </c>
      <c r="F1042">
        <v>111510.5</v>
      </c>
      <c r="G1042" t="s">
        <v>2568</v>
      </c>
      <c r="H1042">
        <v>111510.5</v>
      </c>
      <c r="I1042">
        <v>0</v>
      </c>
      <c r="J1042">
        <v>6</v>
      </c>
      <c r="K1042" t="s">
        <v>2558</v>
      </c>
    </row>
    <row r="1043" spans="1:11">
      <c r="A1043" t="s">
        <v>2655</v>
      </c>
      <c r="B1043" t="s">
        <v>2689</v>
      </c>
      <c r="C1043" t="s">
        <v>2583</v>
      </c>
      <c r="D1043" s="1">
        <v>46205</v>
      </c>
      <c r="E1043" s="1">
        <v>46265</v>
      </c>
      <c r="F1043">
        <v>121482.95</v>
      </c>
      <c r="G1043" t="s">
        <v>2562</v>
      </c>
      <c r="I1043">
        <v>121482.95</v>
      </c>
      <c r="J1043">
        <v>0</v>
      </c>
      <c r="K1043" t="s">
        <v>2669</v>
      </c>
    </row>
    <row r="1044" spans="1:11">
      <c r="A1044" t="s">
        <v>2655</v>
      </c>
      <c r="B1044" t="s">
        <v>2690</v>
      </c>
      <c r="C1044" t="s">
        <v>2561</v>
      </c>
      <c r="D1044" s="1">
        <v>46205</v>
      </c>
      <c r="E1044" s="1">
        <v>46250</v>
      </c>
      <c r="F1044">
        <v>321182.13</v>
      </c>
      <c r="G1044" t="s">
        <v>2562</v>
      </c>
      <c r="I1044">
        <v>321182.13</v>
      </c>
      <c r="J1044">
        <v>15</v>
      </c>
      <c r="K1044" t="s">
        <v>2647</v>
      </c>
    </row>
    <row r="1045" spans="1:11">
      <c r="A1045" t="s">
        <v>2655</v>
      </c>
      <c r="B1045" t="s">
        <v>2129</v>
      </c>
      <c r="C1045" t="s">
        <v>2579</v>
      </c>
      <c r="D1045" s="1">
        <v>46205</v>
      </c>
      <c r="E1045" s="1">
        <v>46235</v>
      </c>
      <c r="F1045">
        <v>227159.17</v>
      </c>
      <c r="G1045" t="s">
        <v>2557</v>
      </c>
      <c r="H1045">
        <v>227159.17</v>
      </c>
      <c r="I1045">
        <v>0</v>
      </c>
      <c r="J1045">
        <v>30</v>
      </c>
      <c r="K1045" t="s">
        <v>2558</v>
      </c>
    </row>
    <row r="1046" spans="1:11">
      <c r="A1046" t="s">
        <v>2655</v>
      </c>
      <c r="B1046" t="s">
        <v>2691</v>
      </c>
      <c r="C1046" t="s">
        <v>2583</v>
      </c>
      <c r="D1046" s="1">
        <v>46206</v>
      </c>
      <c r="E1046" s="1">
        <v>46266</v>
      </c>
      <c r="F1046">
        <v>241081.09</v>
      </c>
      <c r="G1046" t="s">
        <v>2562</v>
      </c>
      <c r="I1046">
        <v>241081.09</v>
      </c>
      <c r="J1046">
        <v>-1</v>
      </c>
      <c r="K1046" t="s">
        <v>2669</v>
      </c>
    </row>
    <row r="1047" spans="1:11">
      <c r="A1047" t="s">
        <v>2655</v>
      </c>
      <c r="B1047" t="s">
        <v>2071</v>
      </c>
      <c r="C1047" t="s">
        <v>2567</v>
      </c>
      <c r="D1047" s="1">
        <v>46206</v>
      </c>
      <c r="E1047" s="1">
        <v>46251</v>
      </c>
      <c r="F1047">
        <v>664789.26</v>
      </c>
      <c r="G1047" t="s">
        <v>2568</v>
      </c>
      <c r="H1047">
        <v>339695.69</v>
      </c>
      <c r="I1047">
        <v>325093.57</v>
      </c>
      <c r="J1047">
        <v>14</v>
      </c>
      <c r="K1047" t="s">
        <v>2647</v>
      </c>
    </row>
    <row r="1048" spans="1:11">
      <c r="A1048" t="s">
        <v>2655</v>
      </c>
      <c r="B1048" t="s">
        <v>2000</v>
      </c>
      <c r="C1048" t="s">
        <v>2564</v>
      </c>
      <c r="D1048" s="1">
        <v>46208</v>
      </c>
      <c r="E1048" s="1">
        <v>46268</v>
      </c>
      <c r="F1048">
        <v>1088400.78</v>
      </c>
      <c r="G1048" t="s">
        <v>2562</v>
      </c>
      <c r="H1048">
        <v>1088400.78</v>
      </c>
      <c r="I1048">
        <v>0</v>
      </c>
      <c r="J1048">
        <v>-3</v>
      </c>
      <c r="K1048" t="s">
        <v>2558</v>
      </c>
    </row>
    <row r="1049" spans="1:11">
      <c r="A1049" t="s">
        <v>2655</v>
      </c>
      <c r="B1049" t="s">
        <v>2368</v>
      </c>
      <c r="C1049" t="s">
        <v>2600</v>
      </c>
      <c r="D1049" s="1">
        <v>46206</v>
      </c>
      <c r="E1049" s="1">
        <v>46236</v>
      </c>
      <c r="F1049">
        <v>96128.09</v>
      </c>
      <c r="G1049" t="s">
        <v>2568</v>
      </c>
      <c r="H1049">
        <v>96128.09</v>
      </c>
      <c r="I1049">
        <v>0</v>
      </c>
      <c r="J1049">
        <v>29</v>
      </c>
      <c r="K1049" t="s">
        <v>2558</v>
      </c>
    </row>
    <row r="1050" spans="1:11">
      <c r="A1050" t="s">
        <v>2655</v>
      </c>
      <c r="B1050" t="s">
        <v>2003</v>
      </c>
      <c r="C1050" t="s">
        <v>2582</v>
      </c>
      <c r="D1050" s="1">
        <v>46216</v>
      </c>
      <c r="E1050" s="1">
        <v>46246</v>
      </c>
      <c r="F1050">
        <v>520802.58</v>
      </c>
      <c r="G1050" t="s">
        <v>2557</v>
      </c>
      <c r="H1050">
        <v>335059.68</v>
      </c>
      <c r="I1050">
        <v>185742.9</v>
      </c>
      <c r="J1050">
        <v>19</v>
      </c>
      <c r="K1050" t="s">
        <v>2647</v>
      </c>
    </row>
    <row r="1051" spans="1:11">
      <c r="A1051" t="s">
        <v>2655</v>
      </c>
      <c r="B1051" t="s">
        <v>2005</v>
      </c>
      <c r="C1051" t="s">
        <v>2583</v>
      </c>
      <c r="D1051" s="1">
        <v>46221</v>
      </c>
      <c r="E1051" s="1">
        <v>46281</v>
      </c>
      <c r="F1051">
        <v>233976.68</v>
      </c>
      <c r="G1051" t="s">
        <v>2562</v>
      </c>
      <c r="H1051">
        <v>233976.68</v>
      </c>
      <c r="I1051">
        <v>0</v>
      </c>
      <c r="J1051">
        <v>-16</v>
      </c>
      <c r="K1051" t="s">
        <v>2558</v>
      </c>
    </row>
    <row r="1052" spans="1:11">
      <c r="A1052" t="s">
        <v>2655</v>
      </c>
      <c r="B1052" t="s">
        <v>2007</v>
      </c>
      <c r="C1052" t="s">
        <v>2588</v>
      </c>
      <c r="D1052" s="1">
        <v>46225</v>
      </c>
      <c r="E1052" s="1">
        <v>46255</v>
      </c>
      <c r="F1052">
        <v>74194.240000000005</v>
      </c>
      <c r="G1052" t="s">
        <v>2562</v>
      </c>
      <c r="H1052">
        <v>74194.240000000005</v>
      </c>
      <c r="I1052">
        <v>0</v>
      </c>
      <c r="J1052">
        <v>10</v>
      </c>
      <c r="K1052" t="s">
        <v>2558</v>
      </c>
    </row>
    <row r="1053" spans="1:11">
      <c r="A1053" t="s">
        <v>2655</v>
      </c>
      <c r="B1053" t="s">
        <v>2009</v>
      </c>
      <c r="C1053" t="s">
        <v>2569</v>
      </c>
      <c r="D1053" s="1">
        <v>46227</v>
      </c>
      <c r="E1053" s="1">
        <v>46242</v>
      </c>
      <c r="F1053">
        <v>23187.02</v>
      </c>
      <c r="G1053" t="s">
        <v>2557</v>
      </c>
      <c r="H1053">
        <v>23187.02</v>
      </c>
      <c r="I1053">
        <v>0</v>
      </c>
      <c r="J1053">
        <v>23</v>
      </c>
      <c r="K1053" t="s">
        <v>2558</v>
      </c>
    </row>
    <row r="1054" spans="1:11">
      <c r="A1054" t="s">
        <v>2655</v>
      </c>
      <c r="B1054" t="s">
        <v>2011</v>
      </c>
      <c r="C1054" t="s">
        <v>2570</v>
      </c>
      <c r="D1054" s="1">
        <v>46228</v>
      </c>
      <c r="E1054" s="1">
        <v>46258</v>
      </c>
      <c r="F1054">
        <v>866583.09</v>
      </c>
      <c r="G1054" t="s">
        <v>2557</v>
      </c>
      <c r="H1054">
        <v>866583.09</v>
      </c>
      <c r="I1054">
        <v>0</v>
      </c>
      <c r="J1054">
        <v>7</v>
      </c>
      <c r="K1054" t="s">
        <v>2558</v>
      </c>
    </row>
    <row r="1055" spans="1:11">
      <c r="A1055" t="s">
        <v>2655</v>
      </c>
      <c r="B1055" t="s">
        <v>2013</v>
      </c>
      <c r="C1055" t="s">
        <v>2593</v>
      </c>
      <c r="D1055" s="1">
        <v>46228</v>
      </c>
      <c r="E1055" s="1">
        <v>46258</v>
      </c>
      <c r="F1055">
        <v>16378.65</v>
      </c>
      <c r="G1055" t="s">
        <v>2574</v>
      </c>
      <c r="H1055">
        <v>16378.65</v>
      </c>
      <c r="I1055">
        <v>0</v>
      </c>
      <c r="J1055">
        <v>7</v>
      </c>
      <c r="K1055" t="s">
        <v>2558</v>
      </c>
    </row>
    <row r="1056" spans="1:11">
      <c r="A1056" t="s">
        <v>2655</v>
      </c>
      <c r="B1056" t="s">
        <v>2015</v>
      </c>
      <c r="C1056" t="s">
        <v>2575</v>
      </c>
      <c r="D1056" s="1">
        <v>46229</v>
      </c>
      <c r="E1056" s="1">
        <v>46244</v>
      </c>
      <c r="F1056">
        <v>50918.05</v>
      </c>
      <c r="G1056" t="s">
        <v>2574</v>
      </c>
      <c r="H1056">
        <v>50918.05</v>
      </c>
      <c r="I1056">
        <v>0</v>
      </c>
      <c r="J1056">
        <v>21</v>
      </c>
      <c r="K1056" t="s">
        <v>2558</v>
      </c>
    </row>
    <row r="1057" spans="1:11">
      <c r="A1057" t="s">
        <v>2655</v>
      </c>
      <c r="B1057" t="s">
        <v>2692</v>
      </c>
      <c r="C1057" t="s">
        <v>2567</v>
      </c>
      <c r="D1057" s="1">
        <v>46207</v>
      </c>
      <c r="E1057" s="1">
        <v>46252</v>
      </c>
      <c r="F1057">
        <v>347537.45</v>
      </c>
      <c r="G1057" t="s">
        <v>2568</v>
      </c>
      <c r="I1057">
        <v>347537.45</v>
      </c>
      <c r="J1057">
        <v>13</v>
      </c>
      <c r="K1057" t="s">
        <v>2647</v>
      </c>
    </row>
    <row r="1058" spans="1:11">
      <c r="A1058" t="s">
        <v>2655</v>
      </c>
      <c r="B1058" t="s">
        <v>2693</v>
      </c>
      <c r="C1058" t="s">
        <v>2564</v>
      </c>
      <c r="D1058" s="1">
        <v>46207</v>
      </c>
      <c r="E1058" s="1">
        <v>46267</v>
      </c>
      <c r="F1058">
        <v>46323.77</v>
      </c>
      <c r="G1058" t="s">
        <v>2562</v>
      </c>
      <c r="I1058">
        <v>46323.77</v>
      </c>
      <c r="J1058">
        <v>-2</v>
      </c>
      <c r="K1058" t="s">
        <v>2669</v>
      </c>
    </row>
    <row r="1059" spans="1:11">
      <c r="A1059" t="s">
        <v>2655</v>
      </c>
      <c r="B1059" t="s">
        <v>2253</v>
      </c>
      <c r="C1059" t="s">
        <v>2570</v>
      </c>
      <c r="D1059" s="1">
        <v>46208</v>
      </c>
      <c r="E1059" s="1">
        <v>46238</v>
      </c>
      <c r="F1059">
        <v>31772</v>
      </c>
      <c r="G1059" t="s">
        <v>2557</v>
      </c>
      <c r="H1059">
        <v>31772</v>
      </c>
      <c r="I1059">
        <v>0</v>
      </c>
      <c r="J1059">
        <v>27</v>
      </c>
      <c r="K1059" t="s">
        <v>2558</v>
      </c>
    </row>
    <row r="1060" spans="1:11">
      <c r="A1060" t="s">
        <v>2655</v>
      </c>
      <c r="B1060" t="s">
        <v>2472</v>
      </c>
      <c r="C1060" t="s">
        <v>2581</v>
      </c>
      <c r="D1060" s="1">
        <v>46208</v>
      </c>
      <c r="E1060" s="1">
        <v>46223</v>
      </c>
      <c r="F1060">
        <v>24034.41</v>
      </c>
      <c r="G1060" t="s">
        <v>2562</v>
      </c>
      <c r="H1060">
        <v>24034.41</v>
      </c>
      <c r="I1060">
        <v>0</v>
      </c>
      <c r="J1060">
        <v>42</v>
      </c>
      <c r="K1060" t="s">
        <v>2558</v>
      </c>
    </row>
    <row r="1061" spans="1:11">
      <c r="A1061" t="s">
        <v>2655</v>
      </c>
      <c r="B1061" t="s">
        <v>2045</v>
      </c>
      <c r="C1061" t="s">
        <v>2573</v>
      </c>
      <c r="D1061" s="1">
        <v>46228</v>
      </c>
      <c r="E1061" s="1">
        <v>46258</v>
      </c>
      <c r="F1061">
        <v>22234.07</v>
      </c>
      <c r="G1061" t="s">
        <v>2574</v>
      </c>
      <c r="H1061">
        <v>22234.07</v>
      </c>
      <c r="I1061">
        <v>0</v>
      </c>
      <c r="J1061">
        <v>7</v>
      </c>
      <c r="K1061" t="s">
        <v>2558</v>
      </c>
    </row>
    <row r="1062" spans="1:11">
      <c r="A1062" t="s">
        <v>2655</v>
      </c>
      <c r="B1062" t="s">
        <v>2047</v>
      </c>
      <c r="C1062" t="s">
        <v>2573</v>
      </c>
      <c r="D1062" s="1">
        <v>46229</v>
      </c>
      <c r="E1062" s="1">
        <v>46259</v>
      </c>
      <c r="F1062">
        <v>10461.08</v>
      </c>
      <c r="G1062" t="s">
        <v>2574</v>
      </c>
      <c r="H1062">
        <v>10461.08</v>
      </c>
      <c r="I1062">
        <v>0</v>
      </c>
      <c r="J1062">
        <v>6</v>
      </c>
      <c r="K1062" t="s">
        <v>2558</v>
      </c>
    </row>
    <row r="1063" spans="1:11">
      <c r="A1063" t="s">
        <v>2655</v>
      </c>
      <c r="B1063" t="s">
        <v>2694</v>
      </c>
      <c r="C1063" t="s">
        <v>2611</v>
      </c>
      <c r="D1063" s="1">
        <v>46209</v>
      </c>
      <c r="E1063" s="1">
        <v>46254</v>
      </c>
      <c r="F1063">
        <v>409171.81</v>
      </c>
      <c r="G1063" t="s">
        <v>2566</v>
      </c>
      <c r="I1063">
        <v>409171.81</v>
      </c>
      <c r="J1063">
        <v>11</v>
      </c>
      <c r="K1063" t="s">
        <v>2647</v>
      </c>
    </row>
    <row r="1064" spans="1:11">
      <c r="A1064" t="s">
        <v>2655</v>
      </c>
      <c r="B1064" t="s">
        <v>2049</v>
      </c>
      <c r="C1064" t="s">
        <v>2577</v>
      </c>
      <c r="D1064" s="1">
        <v>46229</v>
      </c>
      <c r="E1064" s="1">
        <v>46259</v>
      </c>
      <c r="F1064">
        <v>24434.04</v>
      </c>
      <c r="G1064" t="s">
        <v>2562</v>
      </c>
      <c r="H1064">
        <v>24434.04</v>
      </c>
      <c r="I1064">
        <v>0</v>
      </c>
      <c r="J1064">
        <v>6</v>
      </c>
      <c r="K1064" t="s">
        <v>2558</v>
      </c>
    </row>
    <row r="1065" spans="1:11">
      <c r="A1065" t="s">
        <v>2655</v>
      </c>
      <c r="B1065" t="s">
        <v>2695</v>
      </c>
      <c r="C1065" t="s">
        <v>2598</v>
      </c>
      <c r="D1065" s="1">
        <v>46209</v>
      </c>
      <c r="E1065" s="1">
        <v>46239</v>
      </c>
      <c r="F1065">
        <v>98451.1</v>
      </c>
      <c r="G1065" t="s">
        <v>2566</v>
      </c>
      <c r="I1065">
        <v>98451.1</v>
      </c>
      <c r="J1065">
        <v>26</v>
      </c>
      <c r="K1065" t="s">
        <v>2647</v>
      </c>
    </row>
    <row r="1066" spans="1:11">
      <c r="A1066" t="s">
        <v>2655</v>
      </c>
      <c r="B1066" t="s">
        <v>2696</v>
      </c>
      <c r="C1066" t="s">
        <v>2599</v>
      </c>
      <c r="D1066" s="1">
        <v>46210</v>
      </c>
      <c r="E1066" s="1">
        <v>46270</v>
      </c>
      <c r="F1066">
        <v>27418.18</v>
      </c>
      <c r="G1066" t="s">
        <v>2562</v>
      </c>
      <c r="I1066">
        <v>27418.18</v>
      </c>
      <c r="J1066">
        <v>-5</v>
      </c>
      <c r="K1066" t="s">
        <v>2669</v>
      </c>
    </row>
    <row r="1067" spans="1:11">
      <c r="A1067" t="s">
        <v>2655</v>
      </c>
      <c r="B1067" t="s">
        <v>2315</v>
      </c>
      <c r="C1067" t="s">
        <v>2556</v>
      </c>
      <c r="D1067" s="1">
        <v>46210</v>
      </c>
      <c r="E1067" s="1">
        <v>46240</v>
      </c>
      <c r="F1067">
        <v>92055.679999999993</v>
      </c>
      <c r="G1067" t="s">
        <v>2557</v>
      </c>
      <c r="H1067">
        <v>92055.679999999993</v>
      </c>
      <c r="I1067">
        <v>0</v>
      </c>
      <c r="J1067">
        <v>25</v>
      </c>
      <c r="K1067" t="s">
        <v>2558</v>
      </c>
    </row>
    <row r="1068" spans="1:11">
      <c r="A1068" t="s">
        <v>2655</v>
      </c>
      <c r="B1068" t="s">
        <v>2697</v>
      </c>
      <c r="C1068" t="s">
        <v>2576</v>
      </c>
      <c r="D1068" s="1">
        <v>46210</v>
      </c>
      <c r="E1068" s="1">
        <v>46255</v>
      </c>
      <c r="F1068">
        <v>2000000</v>
      </c>
      <c r="G1068" t="s">
        <v>2566</v>
      </c>
      <c r="I1068">
        <v>2000000</v>
      </c>
      <c r="J1068">
        <v>10</v>
      </c>
      <c r="K1068" t="s">
        <v>2647</v>
      </c>
    </row>
    <row r="1069" spans="1:11">
      <c r="A1069" t="s">
        <v>2655</v>
      </c>
      <c r="B1069" t="s">
        <v>2698</v>
      </c>
      <c r="C1069" t="s">
        <v>2556</v>
      </c>
      <c r="D1069" s="1">
        <v>46211</v>
      </c>
      <c r="E1069" s="1">
        <v>46241</v>
      </c>
      <c r="F1069">
        <v>148438.73000000001</v>
      </c>
      <c r="G1069" t="s">
        <v>2557</v>
      </c>
      <c r="I1069">
        <v>148438.73000000001</v>
      </c>
      <c r="J1069">
        <v>24</v>
      </c>
      <c r="K1069" t="s">
        <v>2647</v>
      </c>
    </row>
    <row r="1070" spans="1:11">
      <c r="A1070" t="s">
        <v>2655</v>
      </c>
      <c r="B1070" t="s">
        <v>2073</v>
      </c>
      <c r="C1070" t="s">
        <v>2564</v>
      </c>
      <c r="D1070" s="1">
        <v>46212</v>
      </c>
      <c r="E1070" s="1">
        <v>46272</v>
      </c>
      <c r="F1070">
        <v>38186.720000000001</v>
      </c>
      <c r="G1070" t="s">
        <v>2562</v>
      </c>
      <c r="H1070">
        <v>38186.720000000001</v>
      </c>
      <c r="I1070">
        <v>0</v>
      </c>
      <c r="J1070">
        <v>-7</v>
      </c>
      <c r="K1070" t="s">
        <v>2558</v>
      </c>
    </row>
    <row r="1071" spans="1:11">
      <c r="A1071" t="s">
        <v>2655</v>
      </c>
      <c r="B1071" t="s">
        <v>2505</v>
      </c>
      <c r="C1071" t="s">
        <v>2611</v>
      </c>
      <c r="D1071" s="1">
        <v>46211</v>
      </c>
      <c r="E1071" s="1">
        <v>46256</v>
      </c>
      <c r="F1071">
        <v>641961.55000000005</v>
      </c>
      <c r="G1071" t="s">
        <v>2566</v>
      </c>
      <c r="H1071">
        <v>641961.55000000005</v>
      </c>
      <c r="I1071">
        <v>0</v>
      </c>
      <c r="J1071">
        <v>9</v>
      </c>
      <c r="K1071" t="s">
        <v>2558</v>
      </c>
    </row>
    <row r="1072" spans="1:11">
      <c r="A1072" t="s">
        <v>2655</v>
      </c>
      <c r="B1072" t="s">
        <v>2075</v>
      </c>
      <c r="C1072" t="s">
        <v>2585</v>
      </c>
      <c r="D1072" s="1">
        <v>46217</v>
      </c>
      <c r="E1072" s="1">
        <v>46247</v>
      </c>
      <c r="F1072">
        <v>2000000</v>
      </c>
      <c r="G1072" t="s">
        <v>2562</v>
      </c>
      <c r="H1072">
        <v>2000000</v>
      </c>
      <c r="I1072">
        <v>0</v>
      </c>
      <c r="J1072">
        <v>18</v>
      </c>
      <c r="K1072" t="s">
        <v>2558</v>
      </c>
    </row>
    <row r="1073" spans="1:11">
      <c r="A1073" t="s">
        <v>2655</v>
      </c>
      <c r="B1073" t="s">
        <v>2077</v>
      </c>
      <c r="C1073" t="s">
        <v>2576</v>
      </c>
      <c r="D1073" s="1">
        <v>46220</v>
      </c>
      <c r="E1073" s="1">
        <v>46265</v>
      </c>
      <c r="F1073">
        <v>180147.88</v>
      </c>
      <c r="G1073" t="s">
        <v>2566</v>
      </c>
      <c r="H1073">
        <v>180147.88</v>
      </c>
      <c r="I1073">
        <v>0</v>
      </c>
      <c r="J1073">
        <v>0</v>
      </c>
      <c r="K1073" t="s">
        <v>2558</v>
      </c>
    </row>
    <row r="1074" spans="1:11">
      <c r="A1074" t="s">
        <v>2655</v>
      </c>
      <c r="B1074" t="s">
        <v>2507</v>
      </c>
      <c r="C1074" t="s">
        <v>2610</v>
      </c>
      <c r="D1074" s="1">
        <v>46211</v>
      </c>
      <c r="E1074" s="1">
        <v>46271</v>
      </c>
      <c r="F1074">
        <v>236150.73</v>
      </c>
      <c r="G1074" t="s">
        <v>2574</v>
      </c>
      <c r="H1074">
        <v>236150.73</v>
      </c>
      <c r="I1074">
        <v>0</v>
      </c>
      <c r="J1074">
        <v>-6</v>
      </c>
      <c r="K1074" t="s">
        <v>2558</v>
      </c>
    </row>
    <row r="1075" spans="1:11">
      <c r="A1075" t="s">
        <v>2655</v>
      </c>
      <c r="B1075" t="s">
        <v>2079</v>
      </c>
      <c r="C1075" t="s">
        <v>2613</v>
      </c>
      <c r="D1075" s="1">
        <v>46222</v>
      </c>
      <c r="E1075" s="1">
        <v>46282</v>
      </c>
      <c r="F1075">
        <v>109638.7</v>
      </c>
      <c r="G1075" t="s">
        <v>2560</v>
      </c>
      <c r="H1075">
        <v>109638.7</v>
      </c>
      <c r="I1075">
        <v>0</v>
      </c>
      <c r="J1075">
        <v>-17</v>
      </c>
      <c r="K1075" t="s">
        <v>2558</v>
      </c>
    </row>
    <row r="1076" spans="1:11">
      <c r="A1076" t="s">
        <v>2655</v>
      </c>
      <c r="B1076" t="s">
        <v>2081</v>
      </c>
      <c r="C1076" t="s">
        <v>2571</v>
      </c>
      <c r="D1076" s="1">
        <v>46227</v>
      </c>
      <c r="E1076" s="1">
        <v>46272</v>
      </c>
      <c r="F1076">
        <v>66386.02</v>
      </c>
      <c r="G1076" t="s">
        <v>2568</v>
      </c>
      <c r="H1076">
        <v>66386.02</v>
      </c>
      <c r="I1076">
        <v>0</v>
      </c>
      <c r="J1076">
        <v>-7</v>
      </c>
      <c r="K1076" t="s">
        <v>2558</v>
      </c>
    </row>
    <row r="1077" spans="1:11">
      <c r="A1077" t="s">
        <v>2655</v>
      </c>
      <c r="B1077" t="s">
        <v>2699</v>
      </c>
      <c r="C1077" t="s">
        <v>2583</v>
      </c>
      <c r="D1077" s="1">
        <v>46212</v>
      </c>
      <c r="E1077" s="1">
        <v>46272</v>
      </c>
      <c r="F1077">
        <v>113631.85</v>
      </c>
      <c r="G1077" t="s">
        <v>2562</v>
      </c>
      <c r="I1077">
        <v>113631.85</v>
      </c>
      <c r="J1077">
        <v>-7</v>
      </c>
      <c r="K1077" t="s">
        <v>2669</v>
      </c>
    </row>
    <row r="1078" spans="1:11">
      <c r="A1078" t="s">
        <v>2655</v>
      </c>
      <c r="B1078" t="s">
        <v>2700</v>
      </c>
      <c r="C1078" t="s">
        <v>2589</v>
      </c>
      <c r="D1078" s="1">
        <v>46212</v>
      </c>
      <c r="E1078" s="1">
        <v>46242</v>
      </c>
      <c r="F1078">
        <v>41171.22</v>
      </c>
      <c r="G1078" t="s">
        <v>2568</v>
      </c>
      <c r="I1078">
        <v>41171.22</v>
      </c>
      <c r="J1078">
        <v>23</v>
      </c>
      <c r="K1078" t="s">
        <v>2647</v>
      </c>
    </row>
    <row r="1079" spans="1:11">
      <c r="A1079" t="s">
        <v>2655</v>
      </c>
      <c r="B1079" t="s">
        <v>2212</v>
      </c>
      <c r="C1079" t="s">
        <v>2587</v>
      </c>
      <c r="D1079" s="1">
        <v>46212</v>
      </c>
      <c r="E1079" s="1">
        <v>46272</v>
      </c>
      <c r="F1079">
        <v>272074.48</v>
      </c>
      <c r="G1079" t="s">
        <v>2568</v>
      </c>
      <c r="H1079">
        <v>272074.48</v>
      </c>
      <c r="I1079">
        <v>0</v>
      </c>
      <c r="J1079">
        <v>-7</v>
      </c>
      <c r="K1079" t="s">
        <v>2558</v>
      </c>
    </row>
    <row r="1080" spans="1:11">
      <c r="A1080" t="s">
        <v>2655</v>
      </c>
      <c r="B1080" t="s">
        <v>2403</v>
      </c>
      <c r="C1080" t="s">
        <v>2571</v>
      </c>
      <c r="D1080" s="1">
        <v>46213</v>
      </c>
      <c r="E1080" s="1">
        <v>46258</v>
      </c>
      <c r="F1080">
        <v>645974.92000000004</v>
      </c>
      <c r="G1080" t="s">
        <v>2568</v>
      </c>
      <c r="H1080">
        <v>645974.92000000004</v>
      </c>
      <c r="I1080">
        <v>0</v>
      </c>
      <c r="J1080">
        <v>7</v>
      </c>
      <c r="K1080" t="s">
        <v>2558</v>
      </c>
    </row>
    <row r="1081" spans="1:11">
      <c r="A1081" t="s">
        <v>2655</v>
      </c>
      <c r="B1081" t="s">
        <v>2701</v>
      </c>
      <c r="C1081" t="s">
        <v>2561</v>
      </c>
      <c r="D1081" s="1">
        <v>46213</v>
      </c>
      <c r="E1081" s="1">
        <v>46258</v>
      </c>
      <c r="F1081">
        <v>206340.32</v>
      </c>
      <c r="G1081" t="s">
        <v>2562</v>
      </c>
      <c r="I1081">
        <v>206340.32</v>
      </c>
      <c r="J1081">
        <v>7</v>
      </c>
      <c r="K1081" t="s">
        <v>2647</v>
      </c>
    </row>
    <row r="1082" spans="1:11">
      <c r="A1082" t="s">
        <v>2655</v>
      </c>
      <c r="B1082" t="s">
        <v>2702</v>
      </c>
      <c r="C1082" t="s">
        <v>2583</v>
      </c>
      <c r="D1082" s="1">
        <v>46213</v>
      </c>
      <c r="E1082" s="1">
        <v>46273</v>
      </c>
      <c r="F1082">
        <v>64938.68</v>
      </c>
      <c r="G1082" t="s">
        <v>2562</v>
      </c>
      <c r="I1082">
        <v>64938.68</v>
      </c>
      <c r="J1082">
        <v>-8</v>
      </c>
      <c r="K1082" t="s">
        <v>2669</v>
      </c>
    </row>
    <row r="1083" spans="1:11">
      <c r="A1083" t="s">
        <v>2655</v>
      </c>
      <c r="B1083" t="s">
        <v>2703</v>
      </c>
      <c r="C1083" t="s">
        <v>2564</v>
      </c>
      <c r="D1083" s="1">
        <v>46213</v>
      </c>
      <c r="E1083" s="1">
        <v>46273</v>
      </c>
      <c r="F1083">
        <v>959196.6</v>
      </c>
      <c r="G1083" t="s">
        <v>2562</v>
      </c>
      <c r="I1083">
        <v>959196.6</v>
      </c>
      <c r="J1083">
        <v>-8</v>
      </c>
      <c r="K1083" t="s">
        <v>2669</v>
      </c>
    </row>
    <row r="1084" spans="1:11">
      <c r="A1084" t="s">
        <v>2655</v>
      </c>
      <c r="B1084" t="s">
        <v>2370</v>
      </c>
      <c r="C1084" t="s">
        <v>2564</v>
      </c>
      <c r="D1084" s="1">
        <v>46214</v>
      </c>
      <c r="E1084" s="1">
        <v>46274</v>
      </c>
      <c r="F1084">
        <v>194243.89</v>
      </c>
      <c r="G1084" t="s">
        <v>2562</v>
      </c>
      <c r="H1084">
        <v>194243.89</v>
      </c>
      <c r="I1084">
        <v>0</v>
      </c>
      <c r="J1084">
        <v>-9</v>
      </c>
      <c r="K1084" t="s">
        <v>2558</v>
      </c>
    </row>
    <row r="1085" spans="1:11">
      <c r="A1085" t="s">
        <v>2655</v>
      </c>
      <c r="B1085" t="s">
        <v>2509</v>
      </c>
      <c r="C1085" t="s">
        <v>2579</v>
      </c>
      <c r="D1085" s="1">
        <v>46214</v>
      </c>
      <c r="E1085" s="1">
        <v>46244</v>
      </c>
      <c r="F1085">
        <v>189288.77</v>
      </c>
      <c r="G1085" t="s">
        <v>2557</v>
      </c>
      <c r="H1085">
        <v>189288.77</v>
      </c>
      <c r="I1085">
        <v>0</v>
      </c>
      <c r="J1085">
        <v>21</v>
      </c>
      <c r="K1085" t="s">
        <v>2558</v>
      </c>
    </row>
    <row r="1086" spans="1:11">
      <c r="A1086" t="s">
        <v>2655</v>
      </c>
      <c r="B1086" t="s">
        <v>2704</v>
      </c>
      <c r="C1086" t="s">
        <v>2587</v>
      </c>
      <c r="D1086" s="1">
        <v>46214</v>
      </c>
      <c r="E1086" s="1">
        <v>46274</v>
      </c>
      <c r="F1086">
        <v>205789.64</v>
      </c>
      <c r="G1086" t="s">
        <v>2568</v>
      </c>
      <c r="I1086">
        <v>205789.64</v>
      </c>
      <c r="J1086">
        <v>-9</v>
      </c>
      <c r="K1086" t="s">
        <v>2669</v>
      </c>
    </row>
    <row r="1087" spans="1:11">
      <c r="A1087" t="s">
        <v>2655</v>
      </c>
      <c r="B1087" t="s">
        <v>2131</v>
      </c>
      <c r="C1087" t="s">
        <v>2602</v>
      </c>
      <c r="D1087" s="1">
        <v>46219</v>
      </c>
      <c r="E1087" s="1">
        <v>46279</v>
      </c>
      <c r="F1087">
        <v>52910.04</v>
      </c>
      <c r="G1087" t="s">
        <v>2562</v>
      </c>
      <c r="H1087">
        <v>52910.04</v>
      </c>
      <c r="I1087">
        <v>0</v>
      </c>
      <c r="J1087">
        <v>-14</v>
      </c>
      <c r="K1087" t="s">
        <v>2558</v>
      </c>
    </row>
    <row r="1088" spans="1:11">
      <c r="A1088" t="s">
        <v>2655</v>
      </c>
      <c r="B1088" t="s">
        <v>2133</v>
      </c>
      <c r="C1088" t="s">
        <v>2588</v>
      </c>
      <c r="D1088" s="1">
        <v>46228</v>
      </c>
      <c r="E1088" s="1">
        <v>46258</v>
      </c>
      <c r="F1088">
        <v>405359.83</v>
      </c>
      <c r="G1088" t="s">
        <v>2562</v>
      </c>
      <c r="H1088">
        <v>405359.83</v>
      </c>
      <c r="I1088">
        <v>0</v>
      </c>
      <c r="J1088">
        <v>7</v>
      </c>
      <c r="K1088" t="s">
        <v>2558</v>
      </c>
    </row>
    <row r="1089" spans="1:11">
      <c r="A1089" t="s">
        <v>2655</v>
      </c>
      <c r="B1089" t="s">
        <v>2372</v>
      </c>
      <c r="C1089" t="s">
        <v>2588</v>
      </c>
      <c r="D1089" s="1">
        <v>46214</v>
      </c>
      <c r="E1089" s="1">
        <v>46244</v>
      </c>
      <c r="F1089">
        <v>196471.9</v>
      </c>
      <c r="G1089" t="s">
        <v>2562</v>
      </c>
      <c r="H1089">
        <v>196471.9</v>
      </c>
      <c r="I1089">
        <v>0</v>
      </c>
      <c r="J1089">
        <v>21</v>
      </c>
      <c r="K1089" t="s">
        <v>2558</v>
      </c>
    </row>
    <row r="1090" spans="1:11">
      <c r="A1090" t="s">
        <v>2655</v>
      </c>
      <c r="B1090" t="s">
        <v>2135</v>
      </c>
      <c r="C1090" t="s">
        <v>2619</v>
      </c>
      <c r="D1090" s="1">
        <v>46230</v>
      </c>
      <c r="E1090" s="1">
        <v>46260</v>
      </c>
      <c r="F1090">
        <v>7847.4</v>
      </c>
      <c r="G1090" t="s">
        <v>2560</v>
      </c>
      <c r="H1090">
        <v>7847.4</v>
      </c>
      <c r="I1090">
        <v>0</v>
      </c>
      <c r="J1090">
        <v>5</v>
      </c>
      <c r="K1090" t="s">
        <v>2558</v>
      </c>
    </row>
    <row r="1091" spans="1:11">
      <c r="A1091" t="s">
        <v>2655</v>
      </c>
      <c r="B1091" t="s">
        <v>2511</v>
      </c>
      <c r="C1091" t="s">
        <v>2583</v>
      </c>
      <c r="D1091" s="1">
        <v>46214</v>
      </c>
      <c r="E1091" s="1">
        <v>46274</v>
      </c>
      <c r="F1091">
        <v>284617.7</v>
      </c>
      <c r="G1091" t="s">
        <v>2562</v>
      </c>
      <c r="H1091">
        <v>284617.7</v>
      </c>
      <c r="I1091">
        <v>0</v>
      </c>
      <c r="J1091">
        <v>-9</v>
      </c>
      <c r="K1091" t="s">
        <v>2558</v>
      </c>
    </row>
    <row r="1092" spans="1:11">
      <c r="A1092" t="s">
        <v>2655</v>
      </c>
      <c r="B1092" t="s">
        <v>2374</v>
      </c>
      <c r="C1092" t="s">
        <v>2606</v>
      </c>
      <c r="D1092" s="1">
        <v>46215</v>
      </c>
      <c r="E1092" s="1">
        <v>46230</v>
      </c>
      <c r="F1092">
        <v>16897.3</v>
      </c>
      <c r="G1092" t="s">
        <v>2562</v>
      </c>
      <c r="H1092">
        <v>16897.3</v>
      </c>
      <c r="I1092">
        <v>0</v>
      </c>
      <c r="J1092">
        <v>35</v>
      </c>
      <c r="K1092" t="s">
        <v>2558</v>
      </c>
    </row>
    <row r="1093" spans="1:11">
      <c r="A1093" t="s">
        <v>2655</v>
      </c>
      <c r="B1093" t="s">
        <v>2159</v>
      </c>
      <c r="C1093" t="s">
        <v>2608</v>
      </c>
      <c r="D1093" s="1">
        <v>46219</v>
      </c>
      <c r="E1093" s="1">
        <v>46264</v>
      </c>
      <c r="F1093">
        <v>150147.21</v>
      </c>
      <c r="G1093" t="s">
        <v>2560</v>
      </c>
      <c r="H1093">
        <v>36128.57</v>
      </c>
      <c r="I1093">
        <v>114018.64</v>
      </c>
      <c r="J1093">
        <v>1</v>
      </c>
      <c r="K1093" t="s">
        <v>2647</v>
      </c>
    </row>
    <row r="1094" spans="1:11">
      <c r="A1094" t="s">
        <v>2655</v>
      </c>
      <c r="B1094" t="s">
        <v>2161</v>
      </c>
      <c r="C1094" t="s">
        <v>2616</v>
      </c>
      <c r="D1094" s="1">
        <v>46220</v>
      </c>
      <c r="E1094" s="1">
        <v>46235</v>
      </c>
      <c r="F1094">
        <v>328119.59999999998</v>
      </c>
      <c r="G1094" t="s">
        <v>2560</v>
      </c>
      <c r="H1094">
        <v>328119.59999999998</v>
      </c>
      <c r="I1094">
        <v>0</v>
      </c>
      <c r="J1094">
        <v>30</v>
      </c>
      <c r="K1094" t="s">
        <v>2558</v>
      </c>
    </row>
    <row r="1095" spans="1:11">
      <c r="A1095" t="s">
        <v>2655</v>
      </c>
      <c r="B1095" t="s">
        <v>2214</v>
      </c>
      <c r="C1095" t="s">
        <v>2577</v>
      </c>
      <c r="D1095" s="1">
        <v>46216</v>
      </c>
      <c r="E1095" s="1">
        <v>46246</v>
      </c>
      <c r="F1095">
        <v>12873.93</v>
      </c>
      <c r="G1095" t="s">
        <v>2562</v>
      </c>
      <c r="H1095">
        <v>12873.93</v>
      </c>
      <c r="I1095">
        <v>0</v>
      </c>
      <c r="J1095">
        <v>19</v>
      </c>
      <c r="K1095" t="s">
        <v>2558</v>
      </c>
    </row>
    <row r="1096" spans="1:11">
      <c r="A1096" t="s">
        <v>2655</v>
      </c>
      <c r="B1096" t="s">
        <v>2164</v>
      </c>
      <c r="C1096" t="s">
        <v>2588</v>
      </c>
      <c r="D1096" s="1">
        <v>46231</v>
      </c>
      <c r="E1096" s="1">
        <v>46261</v>
      </c>
      <c r="F1096">
        <v>74822.570000000007</v>
      </c>
      <c r="G1096" t="s">
        <v>2562</v>
      </c>
      <c r="H1096">
        <v>74822.570000000007</v>
      </c>
      <c r="I1096">
        <v>0</v>
      </c>
      <c r="J1096">
        <v>4</v>
      </c>
      <c r="K1096" t="s">
        <v>2558</v>
      </c>
    </row>
    <row r="1097" spans="1:11">
      <c r="A1097" t="s">
        <v>2655</v>
      </c>
      <c r="B1097" t="s">
        <v>2166</v>
      </c>
      <c r="C1097" t="s">
        <v>2588</v>
      </c>
      <c r="D1097" s="1">
        <v>46231</v>
      </c>
      <c r="E1097" s="1">
        <v>46261</v>
      </c>
      <c r="F1097">
        <v>396619.61</v>
      </c>
      <c r="G1097" t="s">
        <v>2562</v>
      </c>
      <c r="H1097">
        <v>162066.34</v>
      </c>
      <c r="I1097">
        <v>234553.27</v>
      </c>
      <c r="J1097">
        <v>4</v>
      </c>
      <c r="K1097" t="s">
        <v>2647</v>
      </c>
    </row>
    <row r="1098" spans="1:11">
      <c r="A1098" t="s">
        <v>2655</v>
      </c>
      <c r="B1098" t="s">
        <v>2514</v>
      </c>
      <c r="C1098" t="s">
        <v>2564</v>
      </c>
      <c r="D1098" s="1">
        <v>46216</v>
      </c>
      <c r="E1098" s="1">
        <v>46276</v>
      </c>
      <c r="F1098">
        <v>145689.60999999999</v>
      </c>
      <c r="G1098" t="s">
        <v>2562</v>
      </c>
      <c r="H1098">
        <v>145689.60999999999</v>
      </c>
      <c r="I1098">
        <v>0</v>
      </c>
      <c r="J1098">
        <v>-11</v>
      </c>
      <c r="K1098" t="s">
        <v>2558</v>
      </c>
    </row>
    <row r="1099" spans="1:11">
      <c r="A1099" t="s">
        <v>2655</v>
      </c>
      <c r="B1099" t="s">
        <v>2705</v>
      </c>
      <c r="C1099" t="s">
        <v>2599</v>
      </c>
      <c r="D1099" s="1">
        <v>46217</v>
      </c>
      <c r="E1099" s="1">
        <v>46277</v>
      </c>
      <c r="F1099">
        <v>539514.11</v>
      </c>
      <c r="G1099" t="s">
        <v>2562</v>
      </c>
      <c r="I1099">
        <v>539514.11</v>
      </c>
      <c r="J1099">
        <v>-12</v>
      </c>
      <c r="K1099" t="s">
        <v>2669</v>
      </c>
    </row>
    <row r="1100" spans="1:11">
      <c r="A1100" t="s">
        <v>2655</v>
      </c>
      <c r="B1100" t="s">
        <v>2317</v>
      </c>
      <c r="C1100" t="s">
        <v>2570</v>
      </c>
      <c r="D1100" s="1">
        <v>46217</v>
      </c>
      <c r="E1100" s="1">
        <v>46247</v>
      </c>
      <c r="F1100">
        <v>66101.2</v>
      </c>
      <c r="G1100" t="s">
        <v>2557</v>
      </c>
      <c r="H1100">
        <v>48504.08</v>
      </c>
      <c r="I1100">
        <v>17597.12</v>
      </c>
      <c r="J1100">
        <v>18</v>
      </c>
      <c r="K1100" t="s">
        <v>2647</v>
      </c>
    </row>
    <row r="1101" spans="1:11">
      <c r="A1101" t="s">
        <v>2655</v>
      </c>
      <c r="B1101" t="s">
        <v>2706</v>
      </c>
      <c r="C1101" t="s">
        <v>2597</v>
      </c>
      <c r="D1101" s="1">
        <v>46217</v>
      </c>
      <c r="E1101" s="1">
        <v>46262</v>
      </c>
      <c r="F1101">
        <v>153123.76999999999</v>
      </c>
      <c r="G1101" t="s">
        <v>2574</v>
      </c>
      <c r="I1101">
        <v>153123.76999999999</v>
      </c>
      <c r="J1101">
        <v>3</v>
      </c>
      <c r="K1101" t="s">
        <v>2647</v>
      </c>
    </row>
    <row r="1102" spans="1:11">
      <c r="A1102" t="s">
        <v>2655</v>
      </c>
      <c r="B1102" t="s">
        <v>2707</v>
      </c>
      <c r="C1102" t="s">
        <v>2623</v>
      </c>
      <c r="D1102" s="1">
        <v>46217</v>
      </c>
      <c r="E1102" s="1">
        <v>46247</v>
      </c>
      <c r="F1102">
        <v>200118.27</v>
      </c>
      <c r="G1102" t="s">
        <v>2562</v>
      </c>
      <c r="I1102">
        <v>200118.27</v>
      </c>
      <c r="J1102">
        <v>18</v>
      </c>
      <c r="K1102" t="s">
        <v>2647</v>
      </c>
    </row>
    <row r="1103" spans="1:11">
      <c r="A1103" t="s">
        <v>2655</v>
      </c>
      <c r="B1103" t="s">
        <v>2708</v>
      </c>
      <c r="C1103" t="s">
        <v>2587</v>
      </c>
      <c r="D1103" s="1">
        <v>46217</v>
      </c>
      <c r="E1103" s="1">
        <v>46277</v>
      </c>
      <c r="F1103">
        <v>171272.86</v>
      </c>
      <c r="G1103" t="s">
        <v>2568</v>
      </c>
      <c r="I1103">
        <v>171272.86</v>
      </c>
      <c r="J1103">
        <v>-12</v>
      </c>
      <c r="K1103" t="s">
        <v>2669</v>
      </c>
    </row>
    <row r="1104" spans="1:11">
      <c r="A1104" t="s">
        <v>2655</v>
      </c>
      <c r="B1104" t="s">
        <v>2216</v>
      </c>
      <c r="C1104" t="s">
        <v>2600</v>
      </c>
      <c r="D1104" s="1">
        <v>46217</v>
      </c>
      <c r="E1104" s="1">
        <v>46247</v>
      </c>
      <c r="F1104">
        <v>18253.689999999999</v>
      </c>
      <c r="G1104" t="s">
        <v>2568</v>
      </c>
      <c r="H1104">
        <v>18253.689999999999</v>
      </c>
      <c r="I1104">
        <v>0</v>
      </c>
      <c r="J1104">
        <v>18</v>
      </c>
      <c r="K1104" t="s">
        <v>2558</v>
      </c>
    </row>
    <row r="1105" spans="1:11">
      <c r="A1105" t="s">
        <v>2655</v>
      </c>
      <c r="B1105" t="s">
        <v>2709</v>
      </c>
      <c r="C1105" t="s">
        <v>2583</v>
      </c>
      <c r="D1105" s="1">
        <v>46217</v>
      </c>
      <c r="E1105" s="1">
        <v>46277</v>
      </c>
      <c r="F1105">
        <v>499161.03</v>
      </c>
      <c r="G1105" t="s">
        <v>2562</v>
      </c>
      <c r="I1105">
        <v>499161.03</v>
      </c>
      <c r="J1105">
        <v>-12</v>
      </c>
      <c r="K1105" t="s">
        <v>2669</v>
      </c>
    </row>
    <row r="1106" spans="1:11">
      <c r="A1106" t="s">
        <v>2655</v>
      </c>
      <c r="B1106" t="s">
        <v>2710</v>
      </c>
      <c r="C1106" t="s">
        <v>2582</v>
      </c>
      <c r="D1106" s="1">
        <v>46218</v>
      </c>
      <c r="E1106" s="1">
        <v>46248</v>
      </c>
      <c r="F1106">
        <v>380484.06</v>
      </c>
      <c r="G1106" t="s">
        <v>2557</v>
      </c>
      <c r="I1106">
        <v>380484.06</v>
      </c>
      <c r="J1106">
        <v>17</v>
      </c>
      <c r="K1106" t="s">
        <v>2647</v>
      </c>
    </row>
    <row r="1107" spans="1:11">
      <c r="A1107" t="s">
        <v>2655</v>
      </c>
      <c r="B1107" t="s">
        <v>2220</v>
      </c>
      <c r="C1107" t="s">
        <v>2564</v>
      </c>
      <c r="D1107" s="1">
        <v>46231</v>
      </c>
      <c r="E1107" s="1">
        <v>46291</v>
      </c>
      <c r="F1107">
        <v>249378.01</v>
      </c>
      <c r="G1107" t="s">
        <v>2562</v>
      </c>
      <c r="H1107">
        <v>249378.01</v>
      </c>
      <c r="I1107">
        <v>0</v>
      </c>
      <c r="J1107">
        <v>-26</v>
      </c>
      <c r="K1107" t="s">
        <v>2558</v>
      </c>
    </row>
    <row r="1108" spans="1:11">
      <c r="A1108" t="s">
        <v>2655</v>
      </c>
      <c r="B1108" t="s">
        <v>2222</v>
      </c>
      <c r="C1108" t="s">
        <v>2576</v>
      </c>
      <c r="D1108" s="1">
        <v>46232</v>
      </c>
      <c r="E1108" s="1">
        <v>46277</v>
      </c>
      <c r="F1108">
        <v>39686.85</v>
      </c>
      <c r="G1108" t="s">
        <v>2566</v>
      </c>
      <c r="H1108">
        <v>39686.85</v>
      </c>
      <c r="I1108">
        <v>0</v>
      </c>
      <c r="J1108">
        <v>-12</v>
      </c>
      <c r="K1108" t="s">
        <v>2558</v>
      </c>
    </row>
    <row r="1109" spans="1:11">
      <c r="A1109" t="s">
        <v>2655</v>
      </c>
      <c r="B1109" t="s">
        <v>2319</v>
      </c>
      <c r="C1109" t="s">
        <v>2595</v>
      </c>
      <c r="D1109" s="1">
        <v>46218</v>
      </c>
      <c r="E1109" s="1">
        <v>46248</v>
      </c>
      <c r="F1109">
        <v>39511.03</v>
      </c>
      <c r="G1109" t="s">
        <v>2568</v>
      </c>
      <c r="H1109">
        <v>39511.03</v>
      </c>
      <c r="I1109">
        <v>0</v>
      </c>
      <c r="J1109">
        <v>17</v>
      </c>
      <c r="K1109" t="s">
        <v>2558</v>
      </c>
    </row>
    <row r="1110" spans="1:11">
      <c r="A1110" t="s">
        <v>2655</v>
      </c>
      <c r="B1110" t="s">
        <v>2711</v>
      </c>
      <c r="C1110" t="s">
        <v>2583</v>
      </c>
      <c r="D1110" s="1">
        <v>46218</v>
      </c>
      <c r="E1110" s="1">
        <v>46278</v>
      </c>
      <c r="F1110">
        <v>39650.620000000003</v>
      </c>
      <c r="G1110" t="s">
        <v>2562</v>
      </c>
      <c r="I1110">
        <v>39650.620000000003</v>
      </c>
      <c r="J1110">
        <v>-13</v>
      </c>
      <c r="K1110" t="s">
        <v>2669</v>
      </c>
    </row>
    <row r="1111" spans="1:11">
      <c r="A1111" t="s">
        <v>2655</v>
      </c>
      <c r="B1111" t="s">
        <v>2255</v>
      </c>
      <c r="C1111" t="s">
        <v>2615</v>
      </c>
      <c r="D1111" s="1">
        <v>46218</v>
      </c>
      <c r="E1111" s="1">
        <v>46233</v>
      </c>
      <c r="F1111">
        <v>58086.74</v>
      </c>
      <c r="G1111" t="s">
        <v>2574</v>
      </c>
      <c r="H1111">
        <v>58086.74</v>
      </c>
      <c r="I1111">
        <v>0</v>
      </c>
      <c r="J1111">
        <v>32</v>
      </c>
      <c r="K1111" t="s">
        <v>2558</v>
      </c>
    </row>
    <row r="1112" spans="1:11">
      <c r="A1112" t="s">
        <v>2655</v>
      </c>
      <c r="B1112" t="s">
        <v>2712</v>
      </c>
      <c r="C1112" t="s">
        <v>2607</v>
      </c>
      <c r="D1112" s="1">
        <v>46218</v>
      </c>
      <c r="E1112" s="1">
        <v>46248</v>
      </c>
      <c r="F1112">
        <v>112996.15</v>
      </c>
      <c r="G1112" t="s">
        <v>2562</v>
      </c>
      <c r="I1112">
        <v>112996.15</v>
      </c>
      <c r="J1112">
        <v>17</v>
      </c>
      <c r="K1112" t="s">
        <v>2647</v>
      </c>
    </row>
    <row r="1113" spans="1:11">
      <c r="A1113" t="s">
        <v>2655</v>
      </c>
      <c r="B1113" t="s">
        <v>2713</v>
      </c>
      <c r="C1113" t="s">
        <v>2573</v>
      </c>
      <c r="D1113" s="1">
        <v>46219</v>
      </c>
      <c r="E1113" s="1">
        <v>46249</v>
      </c>
      <c r="F1113">
        <v>56476</v>
      </c>
      <c r="G1113" t="s">
        <v>2574</v>
      </c>
      <c r="I1113">
        <v>56476</v>
      </c>
      <c r="J1113">
        <v>16</v>
      </c>
      <c r="K1113" t="s">
        <v>2647</v>
      </c>
    </row>
    <row r="1114" spans="1:11">
      <c r="A1114" t="s">
        <v>2655</v>
      </c>
      <c r="B1114" t="s">
        <v>2435</v>
      </c>
      <c r="C1114" t="s">
        <v>2569</v>
      </c>
      <c r="D1114" s="1">
        <v>46219</v>
      </c>
      <c r="E1114" s="1">
        <v>46234</v>
      </c>
      <c r="F1114">
        <v>95946.51</v>
      </c>
      <c r="G1114" t="s">
        <v>2557</v>
      </c>
      <c r="H1114">
        <v>95946.51</v>
      </c>
      <c r="I1114">
        <v>0</v>
      </c>
      <c r="J1114">
        <v>31</v>
      </c>
      <c r="K1114" t="s">
        <v>2558</v>
      </c>
    </row>
    <row r="1115" spans="1:11">
      <c r="A1115" t="s">
        <v>2655</v>
      </c>
      <c r="B1115" t="s">
        <v>2437</v>
      </c>
      <c r="C1115" t="s">
        <v>2582</v>
      </c>
      <c r="D1115" s="1">
        <v>46219</v>
      </c>
      <c r="E1115" s="1">
        <v>46249</v>
      </c>
      <c r="F1115">
        <v>50616.66</v>
      </c>
      <c r="G1115" t="s">
        <v>2557</v>
      </c>
      <c r="H1115">
        <v>50616.66</v>
      </c>
      <c r="I1115">
        <v>0</v>
      </c>
      <c r="J1115">
        <v>16</v>
      </c>
      <c r="K1115" t="s">
        <v>2558</v>
      </c>
    </row>
    <row r="1116" spans="1:11">
      <c r="A1116" t="s">
        <v>2655</v>
      </c>
      <c r="B1116" t="s">
        <v>2257</v>
      </c>
      <c r="C1116" t="s">
        <v>2564</v>
      </c>
      <c r="D1116" s="1">
        <v>46220</v>
      </c>
      <c r="E1116" s="1">
        <v>46280</v>
      </c>
      <c r="F1116">
        <v>190371.28</v>
      </c>
      <c r="G1116" t="s">
        <v>2562</v>
      </c>
      <c r="H1116">
        <v>190371.28</v>
      </c>
      <c r="I1116">
        <v>0</v>
      </c>
      <c r="J1116">
        <v>-15</v>
      </c>
      <c r="K1116" t="s">
        <v>2558</v>
      </c>
    </row>
    <row r="1117" spans="1:11">
      <c r="A1117" t="s">
        <v>2655</v>
      </c>
      <c r="B1117" t="s">
        <v>2259</v>
      </c>
      <c r="C1117" t="s">
        <v>2615</v>
      </c>
      <c r="D1117" s="1">
        <v>46222</v>
      </c>
      <c r="E1117" s="1">
        <v>46237</v>
      </c>
      <c r="F1117">
        <v>25254.12</v>
      </c>
      <c r="G1117" t="s">
        <v>2574</v>
      </c>
      <c r="H1117">
        <v>14598.57</v>
      </c>
      <c r="I1117">
        <v>10655.55</v>
      </c>
      <c r="J1117">
        <v>28</v>
      </c>
      <c r="K1117" t="s">
        <v>2647</v>
      </c>
    </row>
    <row r="1118" spans="1:11">
      <c r="A1118" t="s">
        <v>2655</v>
      </c>
      <c r="B1118" t="s">
        <v>2261</v>
      </c>
      <c r="C1118" t="s">
        <v>2579</v>
      </c>
      <c r="D1118" s="1">
        <v>46223</v>
      </c>
      <c r="E1118" s="1">
        <v>46253</v>
      </c>
      <c r="F1118">
        <v>339030.57</v>
      </c>
      <c r="G1118" t="s">
        <v>2557</v>
      </c>
      <c r="H1118">
        <v>45664.49</v>
      </c>
      <c r="I1118">
        <v>293366.08</v>
      </c>
      <c r="J1118">
        <v>12</v>
      </c>
      <c r="K1118" t="s">
        <v>2647</v>
      </c>
    </row>
    <row r="1119" spans="1:11">
      <c r="A1119" t="s">
        <v>2655</v>
      </c>
      <c r="B1119" t="s">
        <v>2714</v>
      </c>
      <c r="C1119" t="s">
        <v>2570</v>
      </c>
      <c r="D1119" s="1">
        <v>46220</v>
      </c>
      <c r="E1119" s="1">
        <v>46250</v>
      </c>
      <c r="F1119">
        <v>523199.99</v>
      </c>
      <c r="G1119" t="s">
        <v>2557</v>
      </c>
      <c r="I1119">
        <v>523199.99</v>
      </c>
      <c r="J1119">
        <v>15</v>
      </c>
      <c r="K1119" t="s">
        <v>2647</v>
      </c>
    </row>
    <row r="1120" spans="1:11">
      <c r="A1120" t="s">
        <v>2655</v>
      </c>
      <c r="B1120" t="s">
        <v>2263</v>
      </c>
      <c r="C1120" t="s">
        <v>2619</v>
      </c>
      <c r="D1120" s="1">
        <v>46225</v>
      </c>
      <c r="E1120" s="1">
        <v>46255</v>
      </c>
      <c r="F1120">
        <v>112528.53</v>
      </c>
      <c r="G1120" t="s">
        <v>2560</v>
      </c>
      <c r="H1120">
        <v>112528.53</v>
      </c>
      <c r="I1120">
        <v>0</v>
      </c>
      <c r="J1120">
        <v>10</v>
      </c>
      <c r="K1120" t="s">
        <v>2558</v>
      </c>
    </row>
    <row r="1121" spans="1:11">
      <c r="A1121" t="s">
        <v>2655</v>
      </c>
      <c r="B1121" t="s">
        <v>2715</v>
      </c>
      <c r="C1121" t="s">
        <v>2582</v>
      </c>
      <c r="D1121" s="1">
        <v>46220</v>
      </c>
      <c r="E1121" s="1">
        <v>46250</v>
      </c>
      <c r="F1121">
        <v>19043.68</v>
      </c>
      <c r="G1121" t="s">
        <v>2557</v>
      </c>
      <c r="I1121">
        <v>19043.68</v>
      </c>
      <c r="J1121">
        <v>15</v>
      </c>
      <c r="K1121" t="s">
        <v>2647</v>
      </c>
    </row>
    <row r="1122" spans="1:11">
      <c r="A1122" t="s">
        <v>2655</v>
      </c>
      <c r="B1122" t="s">
        <v>2267</v>
      </c>
      <c r="C1122" t="s">
        <v>2602</v>
      </c>
      <c r="D1122" s="1">
        <v>46229</v>
      </c>
      <c r="E1122" s="1">
        <v>46289</v>
      </c>
      <c r="F1122">
        <v>12545.91</v>
      </c>
      <c r="G1122" t="s">
        <v>2562</v>
      </c>
      <c r="H1122">
        <v>12545.91</v>
      </c>
      <c r="I1122">
        <v>0</v>
      </c>
      <c r="J1122">
        <v>-24</v>
      </c>
      <c r="K1122" t="s">
        <v>2558</v>
      </c>
    </row>
    <row r="1123" spans="1:11">
      <c r="A1123" t="s">
        <v>2655</v>
      </c>
      <c r="B1123" t="s">
        <v>2269</v>
      </c>
      <c r="C1123" t="s">
        <v>2595</v>
      </c>
      <c r="D1123" s="1">
        <v>46232</v>
      </c>
      <c r="E1123" s="1">
        <v>46262</v>
      </c>
      <c r="F1123">
        <v>192689.15</v>
      </c>
      <c r="G1123" t="s">
        <v>2568</v>
      </c>
      <c r="H1123">
        <v>192689.15</v>
      </c>
      <c r="I1123">
        <v>0</v>
      </c>
      <c r="J1123">
        <v>3</v>
      </c>
      <c r="K1123" t="s">
        <v>2558</v>
      </c>
    </row>
    <row r="1124" spans="1:11">
      <c r="A1124" t="s">
        <v>2655</v>
      </c>
      <c r="B1124" t="s">
        <v>2716</v>
      </c>
      <c r="C1124" t="s">
        <v>2569</v>
      </c>
      <c r="D1124" s="1">
        <v>46220</v>
      </c>
      <c r="E1124" s="1">
        <v>46235</v>
      </c>
      <c r="F1124">
        <v>9108.33</v>
      </c>
      <c r="G1124" t="s">
        <v>2557</v>
      </c>
      <c r="I1124">
        <v>9108.33</v>
      </c>
      <c r="J1124">
        <v>30</v>
      </c>
      <c r="K1124" t="s">
        <v>2647</v>
      </c>
    </row>
    <row r="1125" spans="1:11">
      <c r="A1125" t="s">
        <v>2655</v>
      </c>
      <c r="B1125" t="s">
        <v>2717</v>
      </c>
      <c r="C1125" t="s">
        <v>2640</v>
      </c>
      <c r="D1125" s="1">
        <v>46220</v>
      </c>
      <c r="E1125" s="1">
        <v>46280</v>
      </c>
      <c r="F1125">
        <v>98733.74</v>
      </c>
      <c r="G1125" t="s">
        <v>2560</v>
      </c>
      <c r="I1125">
        <v>98733.74</v>
      </c>
      <c r="J1125">
        <v>-15</v>
      </c>
      <c r="K1125" t="s">
        <v>2669</v>
      </c>
    </row>
    <row r="1126" spans="1:11">
      <c r="A1126" t="s">
        <v>2655</v>
      </c>
      <c r="B1126" t="s">
        <v>2718</v>
      </c>
      <c r="C1126" t="s">
        <v>2610</v>
      </c>
      <c r="D1126" s="1">
        <v>46221</v>
      </c>
      <c r="E1126" s="1">
        <v>46281</v>
      </c>
      <c r="F1126">
        <v>1050722.8700000001</v>
      </c>
      <c r="G1126" t="s">
        <v>2574</v>
      </c>
      <c r="I1126">
        <v>1050722.8700000001</v>
      </c>
      <c r="J1126">
        <v>-16</v>
      </c>
      <c r="K1126" t="s">
        <v>2669</v>
      </c>
    </row>
    <row r="1127" spans="1:11">
      <c r="A1127" t="s">
        <v>2655</v>
      </c>
      <c r="B1127" t="s">
        <v>2719</v>
      </c>
      <c r="C1127" t="s">
        <v>2556</v>
      </c>
      <c r="D1127" s="1">
        <v>46221</v>
      </c>
      <c r="E1127" s="1">
        <v>46251</v>
      </c>
      <c r="F1127">
        <v>363103.53</v>
      </c>
      <c r="G1127" t="s">
        <v>2557</v>
      </c>
      <c r="I1127">
        <v>363103.53</v>
      </c>
      <c r="J1127">
        <v>14</v>
      </c>
      <c r="K1127" t="s">
        <v>2647</v>
      </c>
    </row>
    <row r="1128" spans="1:11">
      <c r="A1128" t="s">
        <v>2655</v>
      </c>
      <c r="B1128" t="s">
        <v>2440</v>
      </c>
      <c r="C1128" t="s">
        <v>2608</v>
      </c>
      <c r="D1128" s="1">
        <v>46221</v>
      </c>
      <c r="E1128" s="1">
        <v>46266</v>
      </c>
      <c r="F1128">
        <v>305662.87</v>
      </c>
      <c r="G1128" t="s">
        <v>2560</v>
      </c>
      <c r="H1128">
        <v>305662.87</v>
      </c>
      <c r="I1128">
        <v>0</v>
      </c>
      <c r="J1128">
        <v>-1</v>
      </c>
      <c r="K1128" t="s">
        <v>2558</v>
      </c>
    </row>
    <row r="1129" spans="1:11">
      <c r="A1129" t="s">
        <v>2655</v>
      </c>
      <c r="B1129" t="s">
        <v>2474</v>
      </c>
      <c r="C1129" t="s">
        <v>2561</v>
      </c>
      <c r="D1129" s="1">
        <v>46221</v>
      </c>
      <c r="E1129" s="1">
        <v>46266</v>
      </c>
      <c r="F1129">
        <v>146499.17000000001</v>
      </c>
      <c r="G1129" t="s">
        <v>2562</v>
      </c>
      <c r="H1129">
        <v>146499.17000000001</v>
      </c>
      <c r="I1129">
        <v>0</v>
      </c>
      <c r="J1129">
        <v>-1</v>
      </c>
      <c r="K1129" t="s">
        <v>2558</v>
      </c>
    </row>
    <row r="1130" spans="1:11">
      <c r="A1130" t="s">
        <v>2655</v>
      </c>
      <c r="B1130" t="s">
        <v>2720</v>
      </c>
      <c r="C1130" t="s">
        <v>2564</v>
      </c>
      <c r="D1130" s="1">
        <v>46221</v>
      </c>
      <c r="E1130" s="1">
        <v>46281</v>
      </c>
      <c r="F1130">
        <v>1278988.6599999999</v>
      </c>
      <c r="G1130" t="s">
        <v>2562</v>
      </c>
      <c r="I1130">
        <v>1278988.6599999999</v>
      </c>
      <c r="J1130">
        <v>-16</v>
      </c>
      <c r="K1130" t="s">
        <v>2669</v>
      </c>
    </row>
    <row r="1131" spans="1:11">
      <c r="A1131" t="s">
        <v>2655</v>
      </c>
      <c r="B1131" t="s">
        <v>2321</v>
      </c>
      <c r="C1131" t="s">
        <v>2576</v>
      </c>
      <c r="D1131" s="1">
        <v>46221</v>
      </c>
      <c r="E1131" s="1">
        <v>46266</v>
      </c>
      <c r="F1131">
        <v>170578.44</v>
      </c>
      <c r="G1131" t="s">
        <v>2566</v>
      </c>
      <c r="H1131">
        <v>71881.53</v>
      </c>
      <c r="I1131">
        <v>98696.91</v>
      </c>
      <c r="J1131">
        <v>-1</v>
      </c>
      <c r="K1131" t="s">
        <v>2669</v>
      </c>
    </row>
    <row r="1132" spans="1:11">
      <c r="A1132" t="s">
        <v>2655</v>
      </c>
      <c r="B1132" t="s">
        <v>2721</v>
      </c>
      <c r="C1132" t="s">
        <v>2582</v>
      </c>
      <c r="D1132" s="1">
        <v>46221</v>
      </c>
      <c r="E1132" s="1">
        <v>46251</v>
      </c>
      <c r="F1132">
        <v>183234.16</v>
      </c>
      <c r="G1132" t="s">
        <v>2557</v>
      </c>
      <c r="I1132">
        <v>183234.16</v>
      </c>
      <c r="J1132">
        <v>14</v>
      </c>
      <c r="K1132" t="s">
        <v>2647</v>
      </c>
    </row>
    <row r="1133" spans="1:11">
      <c r="A1133" t="s">
        <v>2655</v>
      </c>
      <c r="B1133" t="s">
        <v>2722</v>
      </c>
      <c r="C1133" t="s">
        <v>2593</v>
      </c>
      <c r="D1133" s="1">
        <v>46221</v>
      </c>
      <c r="E1133" s="1">
        <v>46251</v>
      </c>
      <c r="F1133">
        <v>5035.6000000000004</v>
      </c>
      <c r="G1133" t="s">
        <v>2574</v>
      </c>
      <c r="I1133">
        <v>5035.6000000000004</v>
      </c>
      <c r="J1133">
        <v>14</v>
      </c>
      <c r="K1133" t="s">
        <v>2647</v>
      </c>
    </row>
    <row r="1134" spans="1:11">
      <c r="A1134" t="s">
        <v>2655</v>
      </c>
      <c r="B1134" t="s">
        <v>2323</v>
      </c>
      <c r="C1134" t="s">
        <v>2571</v>
      </c>
      <c r="D1134" s="1">
        <v>46221</v>
      </c>
      <c r="E1134" s="1">
        <v>46266</v>
      </c>
      <c r="F1134">
        <v>176183.66</v>
      </c>
      <c r="G1134" t="s">
        <v>2568</v>
      </c>
      <c r="H1134">
        <v>176183.66</v>
      </c>
      <c r="I1134">
        <v>0</v>
      </c>
      <c r="J1134">
        <v>-1</v>
      </c>
      <c r="K1134" t="s">
        <v>2558</v>
      </c>
    </row>
    <row r="1135" spans="1:11">
      <c r="A1135" t="s">
        <v>2655</v>
      </c>
      <c r="B1135" t="s">
        <v>2723</v>
      </c>
      <c r="C1135" t="s">
        <v>2564</v>
      </c>
      <c r="D1135" s="1">
        <v>46222</v>
      </c>
      <c r="E1135" s="1">
        <v>46282</v>
      </c>
      <c r="F1135">
        <v>1103445.54</v>
      </c>
      <c r="G1135" t="s">
        <v>2562</v>
      </c>
      <c r="I1135">
        <v>1103445.54</v>
      </c>
      <c r="J1135">
        <v>-17</v>
      </c>
      <c r="K1135" t="s">
        <v>2669</v>
      </c>
    </row>
    <row r="1136" spans="1:11">
      <c r="A1136" t="s">
        <v>2655</v>
      </c>
      <c r="B1136" t="s">
        <v>2724</v>
      </c>
      <c r="C1136" t="s">
        <v>2583</v>
      </c>
      <c r="D1136" s="1">
        <v>46222</v>
      </c>
      <c r="E1136" s="1">
        <v>46282</v>
      </c>
      <c r="F1136">
        <v>144620.24</v>
      </c>
      <c r="G1136" t="s">
        <v>2562</v>
      </c>
      <c r="I1136">
        <v>144620.24</v>
      </c>
      <c r="J1136">
        <v>-17</v>
      </c>
      <c r="K1136" t="s">
        <v>2669</v>
      </c>
    </row>
    <row r="1137" spans="1:11">
      <c r="A1137" t="s">
        <v>2655</v>
      </c>
      <c r="B1137" t="s">
        <v>2407</v>
      </c>
      <c r="C1137" t="s">
        <v>2576</v>
      </c>
      <c r="D1137" s="1">
        <v>46222</v>
      </c>
      <c r="E1137" s="1">
        <v>46267</v>
      </c>
      <c r="F1137">
        <v>643134.42000000004</v>
      </c>
      <c r="G1137" t="s">
        <v>2566</v>
      </c>
      <c r="H1137">
        <v>643134.42000000004</v>
      </c>
      <c r="I1137">
        <v>0</v>
      </c>
      <c r="J1137">
        <v>-2</v>
      </c>
      <c r="K1137" t="s">
        <v>2558</v>
      </c>
    </row>
    <row r="1138" spans="1:11">
      <c r="A1138" t="s">
        <v>2655</v>
      </c>
      <c r="B1138" t="s">
        <v>2725</v>
      </c>
      <c r="C1138" t="s">
        <v>2564</v>
      </c>
      <c r="D1138" s="1">
        <v>46223</v>
      </c>
      <c r="E1138" s="1">
        <v>46283</v>
      </c>
      <c r="F1138">
        <v>334872.09000000003</v>
      </c>
      <c r="G1138" t="s">
        <v>2562</v>
      </c>
      <c r="I1138">
        <v>334872.09000000003</v>
      </c>
      <c r="J1138">
        <v>-18</v>
      </c>
      <c r="K1138" t="s">
        <v>2669</v>
      </c>
    </row>
    <row r="1139" spans="1:11">
      <c r="A1139" t="s">
        <v>2655</v>
      </c>
      <c r="B1139" t="s">
        <v>2726</v>
      </c>
      <c r="C1139" t="s">
        <v>2583</v>
      </c>
      <c r="D1139" s="1">
        <v>46223</v>
      </c>
      <c r="E1139" s="1">
        <v>46283</v>
      </c>
      <c r="F1139">
        <v>441724.81</v>
      </c>
      <c r="G1139" t="s">
        <v>2562</v>
      </c>
      <c r="I1139">
        <v>441724.81</v>
      </c>
      <c r="J1139">
        <v>-18</v>
      </c>
      <c r="K1139" t="s">
        <v>2669</v>
      </c>
    </row>
    <row r="1140" spans="1:11">
      <c r="A1140" t="s">
        <v>2655</v>
      </c>
      <c r="B1140" t="s">
        <v>2727</v>
      </c>
      <c r="C1140" t="s">
        <v>2579</v>
      </c>
      <c r="D1140" s="1">
        <v>46224</v>
      </c>
      <c r="E1140" s="1">
        <v>46254</v>
      </c>
      <c r="F1140">
        <v>1775781.75</v>
      </c>
      <c r="G1140" t="s">
        <v>2557</v>
      </c>
      <c r="I1140">
        <v>1775781.75</v>
      </c>
      <c r="J1140">
        <v>11</v>
      </c>
      <c r="K1140" t="s">
        <v>2647</v>
      </c>
    </row>
    <row r="1141" spans="1:11">
      <c r="A1141" t="s">
        <v>2655</v>
      </c>
      <c r="B1141" t="s">
        <v>2728</v>
      </c>
      <c r="C1141" t="s">
        <v>2611</v>
      </c>
      <c r="D1141" s="1">
        <v>46224</v>
      </c>
      <c r="E1141" s="1">
        <v>46269</v>
      </c>
      <c r="F1141">
        <v>636230.5</v>
      </c>
      <c r="G1141" t="s">
        <v>2566</v>
      </c>
      <c r="I1141">
        <v>636230.5</v>
      </c>
      <c r="J1141">
        <v>-4</v>
      </c>
      <c r="K1141" t="s">
        <v>2669</v>
      </c>
    </row>
    <row r="1142" spans="1:11">
      <c r="A1142" t="s">
        <v>2655</v>
      </c>
      <c r="B1142" t="s">
        <v>2729</v>
      </c>
      <c r="C1142" t="s">
        <v>2556</v>
      </c>
      <c r="D1142" s="1">
        <v>46224</v>
      </c>
      <c r="E1142" s="1">
        <v>46254</v>
      </c>
      <c r="F1142">
        <v>2000000</v>
      </c>
      <c r="G1142" t="s">
        <v>2557</v>
      </c>
      <c r="I1142">
        <v>2000000</v>
      </c>
      <c r="J1142">
        <v>11</v>
      </c>
      <c r="K1142" t="s">
        <v>2647</v>
      </c>
    </row>
    <row r="1143" spans="1:11">
      <c r="A1143" t="s">
        <v>2655</v>
      </c>
      <c r="B1143" t="s">
        <v>2730</v>
      </c>
      <c r="C1143" t="s">
        <v>2610</v>
      </c>
      <c r="D1143" s="1">
        <v>46225</v>
      </c>
      <c r="E1143" s="1">
        <v>46285</v>
      </c>
      <c r="F1143">
        <v>204182.62</v>
      </c>
      <c r="G1143" t="s">
        <v>2574</v>
      </c>
      <c r="I1143">
        <v>204182.62</v>
      </c>
      <c r="J1143">
        <v>-20</v>
      </c>
      <c r="K1143" t="s">
        <v>2669</v>
      </c>
    </row>
    <row r="1144" spans="1:11">
      <c r="A1144" t="s">
        <v>2655</v>
      </c>
      <c r="B1144" t="s">
        <v>2731</v>
      </c>
      <c r="C1144" t="s">
        <v>2567</v>
      </c>
      <c r="D1144" s="1">
        <v>46225</v>
      </c>
      <c r="E1144" s="1">
        <v>46270</v>
      </c>
      <c r="F1144">
        <v>2000000</v>
      </c>
      <c r="G1144" t="s">
        <v>2568</v>
      </c>
      <c r="I1144">
        <v>2000000</v>
      </c>
      <c r="J1144">
        <v>-5</v>
      </c>
      <c r="K1144" t="s">
        <v>2669</v>
      </c>
    </row>
    <row r="1145" spans="1:11">
      <c r="A1145" t="s">
        <v>2655</v>
      </c>
      <c r="B1145" t="s">
        <v>2409</v>
      </c>
      <c r="C1145" t="s">
        <v>2599</v>
      </c>
      <c r="D1145" s="1">
        <v>46225</v>
      </c>
      <c r="E1145" s="1">
        <v>46285</v>
      </c>
      <c r="F1145">
        <v>330734.19</v>
      </c>
      <c r="G1145" t="s">
        <v>2562</v>
      </c>
      <c r="H1145">
        <v>330734.19</v>
      </c>
      <c r="I1145">
        <v>0</v>
      </c>
      <c r="J1145">
        <v>-20</v>
      </c>
      <c r="K1145" t="s">
        <v>2558</v>
      </c>
    </row>
    <row r="1146" spans="1:11">
      <c r="A1146" t="s">
        <v>2655</v>
      </c>
      <c r="B1146" t="s">
        <v>2732</v>
      </c>
      <c r="C1146" t="s">
        <v>2567</v>
      </c>
      <c r="D1146" s="1">
        <v>46225</v>
      </c>
      <c r="E1146" s="1">
        <v>46270</v>
      </c>
      <c r="F1146">
        <v>1447426.05</v>
      </c>
      <c r="G1146" t="s">
        <v>2568</v>
      </c>
      <c r="I1146">
        <v>1447426.05</v>
      </c>
      <c r="J1146">
        <v>-5</v>
      </c>
      <c r="K1146" t="s">
        <v>2669</v>
      </c>
    </row>
    <row r="1147" spans="1:11">
      <c r="A1147" t="s">
        <v>2655</v>
      </c>
      <c r="B1147" t="s">
        <v>2411</v>
      </c>
      <c r="C1147" t="s">
        <v>2564</v>
      </c>
      <c r="D1147" s="1">
        <v>46225</v>
      </c>
      <c r="E1147" s="1">
        <v>46285</v>
      </c>
      <c r="F1147">
        <v>671676.31</v>
      </c>
      <c r="G1147" t="s">
        <v>2562</v>
      </c>
      <c r="H1147">
        <v>671676.31</v>
      </c>
      <c r="I1147">
        <v>0</v>
      </c>
      <c r="J1147">
        <v>-20</v>
      </c>
      <c r="K1147" t="s">
        <v>2558</v>
      </c>
    </row>
    <row r="1148" spans="1:11">
      <c r="A1148" t="s">
        <v>2655</v>
      </c>
      <c r="B1148" t="s">
        <v>2442</v>
      </c>
      <c r="C1148" t="s">
        <v>2576</v>
      </c>
      <c r="D1148" s="1">
        <v>46225</v>
      </c>
      <c r="E1148" s="1">
        <v>46270</v>
      </c>
      <c r="F1148">
        <v>461416.71</v>
      </c>
      <c r="G1148" t="s">
        <v>2566</v>
      </c>
      <c r="H1148">
        <v>461416.71</v>
      </c>
      <c r="I1148">
        <v>0</v>
      </c>
      <c r="J1148">
        <v>-5</v>
      </c>
      <c r="K1148" t="s">
        <v>2558</v>
      </c>
    </row>
    <row r="1149" spans="1:11">
      <c r="A1149" t="s">
        <v>2655</v>
      </c>
      <c r="B1149" t="s">
        <v>2733</v>
      </c>
      <c r="C1149" t="s">
        <v>2571</v>
      </c>
      <c r="D1149" s="1">
        <v>46225</v>
      </c>
      <c r="E1149" s="1">
        <v>46270</v>
      </c>
      <c r="F1149">
        <v>352613.39</v>
      </c>
      <c r="G1149" t="s">
        <v>2568</v>
      </c>
      <c r="I1149">
        <v>352613.39</v>
      </c>
      <c r="J1149">
        <v>-5</v>
      </c>
      <c r="K1149" t="s">
        <v>2669</v>
      </c>
    </row>
    <row r="1150" spans="1:11">
      <c r="A1150" t="s">
        <v>2655</v>
      </c>
      <c r="B1150" t="s">
        <v>2516</v>
      </c>
      <c r="C1150" t="s">
        <v>2611</v>
      </c>
      <c r="D1150" s="1">
        <v>46225</v>
      </c>
      <c r="E1150" s="1">
        <v>46270</v>
      </c>
      <c r="F1150">
        <v>698487.39</v>
      </c>
      <c r="G1150" t="s">
        <v>2566</v>
      </c>
      <c r="H1150">
        <v>698487.39</v>
      </c>
      <c r="I1150">
        <v>0</v>
      </c>
      <c r="J1150">
        <v>-5</v>
      </c>
      <c r="K1150" t="s">
        <v>2558</v>
      </c>
    </row>
    <row r="1151" spans="1:11">
      <c r="A1151" t="s">
        <v>2655</v>
      </c>
      <c r="B1151" t="s">
        <v>2734</v>
      </c>
      <c r="C1151" t="s">
        <v>2573</v>
      </c>
      <c r="D1151" s="1">
        <v>46226</v>
      </c>
      <c r="E1151" s="1">
        <v>46256</v>
      </c>
      <c r="F1151">
        <v>17131.41</v>
      </c>
      <c r="G1151" t="s">
        <v>2574</v>
      </c>
      <c r="I1151">
        <v>17131.41</v>
      </c>
      <c r="J1151">
        <v>9</v>
      </c>
      <c r="K1151" t="s">
        <v>2647</v>
      </c>
    </row>
    <row r="1152" spans="1:11">
      <c r="A1152" t="s">
        <v>2655</v>
      </c>
      <c r="B1152" t="s">
        <v>2413</v>
      </c>
      <c r="C1152" t="s">
        <v>2576</v>
      </c>
      <c r="D1152" s="1">
        <v>46226</v>
      </c>
      <c r="E1152" s="1">
        <v>46271</v>
      </c>
      <c r="F1152">
        <v>469278.71999999997</v>
      </c>
      <c r="G1152" t="s">
        <v>2566</v>
      </c>
      <c r="H1152">
        <v>469278.71999999997</v>
      </c>
      <c r="I1152">
        <v>0</v>
      </c>
      <c r="J1152">
        <v>-6</v>
      </c>
      <c r="K1152" t="s">
        <v>2558</v>
      </c>
    </row>
    <row r="1153" spans="1:11">
      <c r="A1153" t="s">
        <v>2655</v>
      </c>
      <c r="B1153" t="s">
        <v>2735</v>
      </c>
      <c r="C1153" t="s">
        <v>2569</v>
      </c>
      <c r="D1153" s="1">
        <v>46226</v>
      </c>
      <c r="E1153" s="1">
        <v>46241</v>
      </c>
      <c r="F1153">
        <v>42945.19</v>
      </c>
      <c r="G1153" t="s">
        <v>2557</v>
      </c>
      <c r="I1153">
        <v>42945.19</v>
      </c>
      <c r="J1153">
        <v>24</v>
      </c>
      <c r="K1153" t="s">
        <v>2647</v>
      </c>
    </row>
    <row r="1154" spans="1:11">
      <c r="A1154" t="s">
        <v>2655</v>
      </c>
      <c r="B1154" t="s">
        <v>2736</v>
      </c>
      <c r="C1154" t="s">
        <v>2602</v>
      </c>
      <c r="D1154" s="1">
        <v>46226</v>
      </c>
      <c r="E1154" s="1">
        <v>46286</v>
      </c>
      <c r="F1154">
        <v>225295.96</v>
      </c>
      <c r="G1154" t="s">
        <v>2562</v>
      </c>
      <c r="I1154">
        <v>225295.96</v>
      </c>
      <c r="J1154">
        <v>-21</v>
      </c>
      <c r="K1154" t="s">
        <v>2669</v>
      </c>
    </row>
    <row r="1155" spans="1:11">
      <c r="A1155" t="s">
        <v>2655</v>
      </c>
      <c r="B1155" t="s">
        <v>2737</v>
      </c>
      <c r="C1155" t="s">
        <v>2564</v>
      </c>
      <c r="D1155" s="1">
        <v>46227</v>
      </c>
      <c r="E1155" s="1">
        <v>46287</v>
      </c>
      <c r="F1155">
        <v>209393.73</v>
      </c>
      <c r="G1155" t="s">
        <v>2562</v>
      </c>
      <c r="I1155">
        <v>209393.73</v>
      </c>
      <c r="J1155">
        <v>-22</v>
      </c>
      <c r="K1155" t="s">
        <v>2669</v>
      </c>
    </row>
    <row r="1156" spans="1:11">
      <c r="A1156" t="s">
        <v>2655</v>
      </c>
      <c r="B1156" t="s">
        <v>2415</v>
      </c>
      <c r="C1156" t="s">
        <v>2595</v>
      </c>
      <c r="D1156" s="1">
        <v>46227</v>
      </c>
      <c r="E1156" s="1">
        <v>46257</v>
      </c>
      <c r="F1156">
        <v>563416.75</v>
      </c>
      <c r="G1156" t="s">
        <v>2568</v>
      </c>
      <c r="H1156">
        <v>350001.05</v>
      </c>
      <c r="I1156">
        <v>213415.7</v>
      </c>
      <c r="J1156">
        <v>8</v>
      </c>
      <c r="K1156" t="s">
        <v>2647</v>
      </c>
    </row>
    <row r="1157" spans="1:11">
      <c r="A1157" t="s">
        <v>2655</v>
      </c>
      <c r="B1157" t="s">
        <v>2738</v>
      </c>
      <c r="C1157" t="s">
        <v>2559</v>
      </c>
      <c r="D1157" s="1">
        <v>46227</v>
      </c>
      <c r="E1157" s="1">
        <v>46242</v>
      </c>
      <c r="F1157">
        <v>16516.18</v>
      </c>
      <c r="G1157" t="s">
        <v>2560</v>
      </c>
      <c r="I1157">
        <v>16516.18</v>
      </c>
      <c r="J1157">
        <v>23</v>
      </c>
      <c r="K1157" t="s">
        <v>2647</v>
      </c>
    </row>
    <row r="1158" spans="1:11">
      <c r="A1158" t="s">
        <v>2655</v>
      </c>
      <c r="B1158" t="s">
        <v>2739</v>
      </c>
      <c r="C1158" t="s">
        <v>2599</v>
      </c>
      <c r="D1158" s="1">
        <v>46227</v>
      </c>
      <c r="E1158" s="1">
        <v>46287</v>
      </c>
      <c r="F1158">
        <v>26872.18</v>
      </c>
      <c r="G1158" t="s">
        <v>2562</v>
      </c>
      <c r="I1158">
        <v>26872.18</v>
      </c>
      <c r="J1158">
        <v>-22</v>
      </c>
      <c r="K1158" t="s">
        <v>2669</v>
      </c>
    </row>
    <row r="1159" spans="1:11">
      <c r="A1159" t="s">
        <v>2655</v>
      </c>
      <c r="B1159" t="s">
        <v>2740</v>
      </c>
      <c r="C1159" t="s">
        <v>2579</v>
      </c>
      <c r="D1159" s="1">
        <v>46227</v>
      </c>
      <c r="E1159" s="1">
        <v>46257</v>
      </c>
      <c r="F1159">
        <v>1098682.2</v>
      </c>
      <c r="G1159" t="s">
        <v>2557</v>
      </c>
      <c r="I1159">
        <v>1098682.2</v>
      </c>
      <c r="J1159">
        <v>8</v>
      </c>
      <c r="K1159" t="s">
        <v>2647</v>
      </c>
    </row>
    <row r="1160" spans="1:11">
      <c r="A1160" t="s">
        <v>2655</v>
      </c>
      <c r="B1160" t="s">
        <v>2741</v>
      </c>
      <c r="C1160" t="s">
        <v>2608</v>
      </c>
      <c r="D1160" s="1">
        <v>46227</v>
      </c>
      <c r="E1160" s="1">
        <v>46272</v>
      </c>
      <c r="F1160">
        <v>588291.26</v>
      </c>
      <c r="G1160" t="s">
        <v>2560</v>
      </c>
      <c r="I1160">
        <v>588291.26</v>
      </c>
      <c r="J1160">
        <v>-7</v>
      </c>
      <c r="K1160" t="s">
        <v>2669</v>
      </c>
    </row>
    <row r="1161" spans="1:11">
      <c r="A1161" t="s">
        <v>2655</v>
      </c>
      <c r="B1161" t="s">
        <v>2742</v>
      </c>
      <c r="C1161" t="s">
        <v>2583</v>
      </c>
      <c r="D1161" s="1">
        <v>46228</v>
      </c>
      <c r="E1161" s="1">
        <v>46288</v>
      </c>
      <c r="F1161">
        <v>98559.44</v>
      </c>
      <c r="G1161" t="s">
        <v>2562</v>
      </c>
      <c r="I1161">
        <v>98559.44</v>
      </c>
      <c r="J1161">
        <v>-23</v>
      </c>
      <c r="K1161" t="s">
        <v>2669</v>
      </c>
    </row>
    <row r="1162" spans="1:11">
      <c r="A1162" t="s">
        <v>2655</v>
      </c>
      <c r="B1162" t="s">
        <v>2743</v>
      </c>
      <c r="C1162" t="s">
        <v>2607</v>
      </c>
      <c r="D1162" s="1">
        <v>46228</v>
      </c>
      <c r="E1162" s="1">
        <v>46258</v>
      </c>
      <c r="F1162">
        <v>184724.32</v>
      </c>
      <c r="G1162" t="s">
        <v>2562</v>
      </c>
      <c r="I1162">
        <v>184724.32</v>
      </c>
      <c r="J1162">
        <v>7</v>
      </c>
      <c r="K1162" t="s">
        <v>2647</v>
      </c>
    </row>
    <row r="1163" spans="1:11">
      <c r="A1163" t="s">
        <v>2655</v>
      </c>
      <c r="B1163" t="s">
        <v>2744</v>
      </c>
      <c r="C1163" t="s">
        <v>2564</v>
      </c>
      <c r="D1163" s="1">
        <v>46228</v>
      </c>
      <c r="E1163" s="1">
        <v>46288</v>
      </c>
      <c r="F1163">
        <v>200854.33</v>
      </c>
      <c r="G1163" t="s">
        <v>2562</v>
      </c>
      <c r="I1163">
        <v>200854.33</v>
      </c>
      <c r="J1163">
        <v>-23</v>
      </c>
      <c r="K1163" t="s">
        <v>2669</v>
      </c>
    </row>
    <row r="1164" spans="1:11">
      <c r="A1164" t="s">
        <v>2655</v>
      </c>
      <c r="B1164" t="s">
        <v>2745</v>
      </c>
      <c r="C1164" t="s">
        <v>2619</v>
      </c>
      <c r="D1164" s="1">
        <v>46229</v>
      </c>
      <c r="E1164" s="1">
        <v>46259</v>
      </c>
      <c r="F1164">
        <v>50875.77</v>
      </c>
      <c r="G1164" t="s">
        <v>2560</v>
      </c>
      <c r="I1164">
        <v>50875.77</v>
      </c>
      <c r="J1164">
        <v>6</v>
      </c>
      <c r="K1164" t="s">
        <v>2647</v>
      </c>
    </row>
    <row r="1165" spans="1:11">
      <c r="A1165" t="s">
        <v>2655</v>
      </c>
      <c r="B1165" t="s">
        <v>2746</v>
      </c>
      <c r="C1165" t="s">
        <v>2611</v>
      </c>
      <c r="D1165" s="1">
        <v>46229</v>
      </c>
      <c r="E1165" s="1">
        <v>46274</v>
      </c>
      <c r="F1165">
        <v>152877.22</v>
      </c>
      <c r="G1165" t="s">
        <v>2566</v>
      </c>
      <c r="I1165">
        <v>152877.22</v>
      </c>
      <c r="J1165">
        <v>-9</v>
      </c>
      <c r="K1165" t="s">
        <v>2669</v>
      </c>
    </row>
    <row r="1166" spans="1:11">
      <c r="A1166" t="s">
        <v>2655</v>
      </c>
      <c r="B1166" t="s">
        <v>2747</v>
      </c>
      <c r="C1166" t="s">
        <v>2564</v>
      </c>
      <c r="D1166" s="1">
        <v>46230</v>
      </c>
      <c r="E1166" s="1">
        <v>46290</v>
      </c>
      <c r="F1166">
        <v>810894.12</v>
      </c>
      <c r="G1166" t="s">
        <v>2562</v>
      </c>
      <c r="I1166">
        <v>810894.12</v>
      </c>
      <c r="J1166">
        <v>-25</v>
      </c>
      <c r="K1166" t="s">
        <v>2669</v>
      </c>
    </row>
    <row r="1167" spans="1:11">
      <c r="A1167" t="s">
        <v>2655</v>
      </c>
      <c r="B1167" t="s">
        <v>2748</v>
      </c>
      <c r="C1167" t="s">
        <v>2564</v>
      </c>
      <c r="D1167" s="1">
        <v>46230</v>
      </c>
      <c r="E1167" s="1">
        <v>46290</v>
      </c>
      <c r="F1167">
        <v>192818</v>
      </c>
      <c r="G1167" t="s">
        <v>2562</v>
      </c>
      <c r="I1167">
        <v>192818</v>
      </c>
      <c r="J1167">
        <v>-25</v>
      </c>
      <c r="K1167" t="s">
        <v>2669</v>
      </c>
    </row>
    <row r="1168" spans="1:11">
      <c r="A1168" t="s">
        <v>2655</v>
      </c>
      <c r="B1168" t="s">
        <v>2749</v>
      </c>
      <c r="C1168" t="s">
        <v>2583</v>
      </c>
      <c r="D1168" s="1">
        <v>46230</v>
      </c>
      <c r="E1168" s="1">
        <v>46290</v>
      </c>
      <c r="F1168">
        <v>73374.52</v>
      </c>
      <c r="G1168" t="s">
        <v>2562</v>
      </c>
      <c r="I1168">
        <v>73374.52</v>
      </c>
      <c r="J1168">
        <v>-25</v>
      </c>
      <c r="K1168" t="s">
        <v>2669</v>
      </c>
    </row>
    <row r="1169" spans="1:11">
      <c r="A1169" t="s">
        <v>2655</v>
      </c>
      <c r="B1169" t="s">
        <v>2750</v>
      </c>
      <c r="C1169" t="s">
        <v>2623</v>
      </c>
      <c r="D1169" s="1">
        <v>46230</v>
      </c>
      <c r="E1169" s="1">
        <v>46260</v>
      </c>
      <c r="F1169">
        <v>123688.7</v>
      </c>
      <c r="G1169" t="s">
        <v>2562</v>
      </c>
      <c r="I1169">
        <v>123688.7</v>
      </c>
      <c r="J1169">
        <v>5</v>
      </c>
      <c r="K1169" t="s">
        <v>2647</v>
      </c>
    </row>
    <row r="1170" spans="1:11">
      <c r="A1170" t="s">
        <v>2655</v>
      </c>
      <c r="B1170" t="s">
        <v>2751</v>
      </c>
      <c r="C1170" t="s">
        <v>2577</v>
      </c>
      <c r="D1170" s="1">
        <v>46231</v>
      </c>
      <c r="E1170" s="1">
        <v>46261</v>
      </c>
      <c r="F1170">
        <v>53725.14</v>
      </c>
      <c r="G1170" t="s">
        <v>2562</v>
      </c>
      <c r="I1170">
        <v>53725.14</v>
      </c>
      <c r="J1170">
        <v>4</v>
      </c>
      <c r="K1170" t="s">
        <v>2647</v>
      </c>
    </row>
    <row r="1171" spans="1:11">
      <c r="A1171" t="s">
        <v>2655</v>
      </c>
      <c r="B1171" t="s">
        <v>2752</v>
      </c>
      <c r="C1171" t="s">
        <v>2571</v>
      </c>
      <c r="D1171" s="1">
        <v>46232</v>
      </c>
      <c r="E1171" s="1">
        <v>46277</v>
      </c>
      <c r="F1171">
        <v>380097.52</v>
      </c>
      <c r="G1171" t="s">
        <v>2568</v>
      </c>
      <c r="I1171">
        <v>380097.52</v>
      </c>
      <c r="J1171">
        <v>-12</v>
      </c>
      <c r="K1171" t="s">
        <v>2669</v>
      </c>
    </row>
    <row r="1172" spans="1:11">
      <c r="A1172" t="s">
        <v>2655</v>
      </c>
      <c r="B1172" t="s">
        <v>2753</v>
      </c>
      <c r="C1172" t="s">
        <v>2602</v>
      </c>
      <c r="D1172" s="1">
        <v>46232</v>
      </c>
      <c r="E1172" s="1">
        <v>46292</v>
      </c>
      <c r="F1172">
        <v>179158.91</v>
      </c>
      <c r="G1172" t="s">
        <v>2562</v>
      </c>
      <c r="I1172">
        <v>179158.91</v>
      </c>
      <c r="J1172">
        <v>-27</v>
      </c>
      <c r="K1172" t="s">
        <v>2669</v>
      </c>
    </row>
    <row r="1173" spans="1:11">
      <c r="A1173" t="s">
        <v>2655</v>
      </c>
      <c r="B1173" t="s">
        <v>2754</v>
      </c>
      <c r="C1173" t="s">
        <v>2556</v>
      </c>
      <c r="D1173" s="1">
        <v>46232</v>
      </c>
      <c r="E1173" s="1">
        <v>46262</v>
      </c>
      <c r="F1173">
        <v>1021194.25</v>
      </c>
      <c r="G1173" t="s">
        <v>2557</v>
      </c>
      <c r="I1173">
        <v>1021194.25</v>
      </c>
      <c r="J1173">
        <v>3</v>
      </c>
      <c r="K1173" t="s">
        <v>2647</v>
      </c>
    </row>
    <row r="1174" spans="1:11">
      <c r="A1174" t="s">
        <v>2655</v>
      </c>
      <c r="B1174" t="s">
        <v>2051</v>
      </c>
      <c r="C1174" t="s">
        <v>2615</v>
      </c>
      <c r="D1174" s="1">
        <v>46232</v>
      </c>
      <c r="E1174" s="1">
        <v>46247</v>
      </c>
      <c r="F1174">
        <v>36282.449999999997</v>
      </c>
      <c r="G1174" t="s">
        <v>2574</v>
      </c>
      <c r="H1174">
        <v>36282.449999999997</v>
      </c>
      <c r="I1174">
        <v>0</v>
      </c>
      <c r="J1174">
        <v>18</v>
      </c>
      <c r="K1174" t="s">
        <v>2558</v>
      </c>
    </row>
    <row r="1175" spans="1:11">
      <c r="A1175" t="s">
        <v>2655</v>
      </c>
      <c r="B1175" t="s">
        <v>1803</v>
      </c>
      <c r="C1175" t="s">
        <v>2597</v>
      </c>
      <c r="D1175" s="1">
        <v>46232</v>
      </c>
      <c r="E1175" s="1">
        <v>46277</v>
      </c>
      <c r="F1175">
        <v>145899.78</v>
      </c>
      <c r="G1175" t="s">
        <v>2574</v>
      </c>
      <c r="H1175">
        <v>145899.78</v>
      </c>
      <c r="I1175">
        <v>0</v>
      </c>
      <c r="J1175">
        <v>-12</v>
      </c>
      <c r="K1175" t="s">
        <v>2558</v>
      </c>
    </row>
    <row r="1176" spans="1:11">
      <c r="A1176" t="s">
        <v>2655</v>
      </c>
      <c r="B1176" t="s">
        <v>1805</v>
      </c>
      <c r="C1176" t="s">
        <v>2571</v>
      </c>
      <c r="D1176" s="1">
        <v>46232</v>
      </c>
      <c r="E1176" s="1">
        <v>46277</v>
      </c>
      <c r="F1176">
        <v>480016.84</v>
      </c>
      <c r="G1176" t="s">
        <v>2568</v>
      </c>
      <c r="H1176">
        <v>480016.84</v>
      </c>
      <c r="I1176">
        <v>0</v>
      </c>
      <c r="J1176">
        <v>-12</v>
      </c>
      <c r="K1176" t="s">
        <v>2558</v>
      </c>
    </row>
    <row r="1177" spans="1:11">
      <c r="A1177" t="s">
        <v>2655</v>
      </c>
      <c r="B1177" t="s">
        <v>2017</v>
      </c>
      <c r="C1177" t="s">
        <v>2604</v>
      </c>
      <c r="D1177" s="1">
        <v>46233</v>
      </c>
      <c r="E1177" s="1">
        <v>46278</v>
      </c>
      <c r="F1177">
        <v>136237.28</v>
      </c>
      <c r="G1177" t="s">
        <v>2562</v>
      </c>
      <c r="H1177">
        <v>136237.28</v>
      </c>
      <c r="I1177">
        <v>0</v>
      </c>
      <c r="J1177">
        <v>-13</v>
      </c>
      <c r="K1177" t="s">
        <v>2558</v>
      </c>
    </row>
    <row r="1178" spans="1:11">
      <c r="A1178" t="s">
        <v>2655</v>
      </c>
      <c r="B1178" t="s">
        <v>1960</v>
      </c>
      <c r="C1178" t="s">
        <v>2613</v>
      </c>
      <c r="D1178" s="1">
        <v>46233</v>
      </c>
      <c r="E1178" s="1">
        <v>46293</v>
      </c>
      <c r="F1178">
        <v>133174.57999999999</v>
      </c>
      <c r="G1178" t="s">
        <v>2560</v>
      </c>
      <c r="H1178">
        <v>133174.57999999999</v>
      </c>
      <c r="I1178">
        <v>0</v>
      </c>
      <c r="J1178">
        <v>-28</v>
      </c>
      <c r="K1178" t="s">
        <v>2558</v>
      </c>
    </row>
    <row r="1179" spans="1:11">
      <c r="A1179" t="s">
        <v>2655</v>
      </c>
      <c r="B1179" t="s">
        <v>1651</v>
      </c>
      <c r="C1179" t="s">
        <v>2579</v>
      </c>
      <c r="D1179" s="1">
        <v>46233</v>
      </c>
      <c r="E1179" s="1">
        <v>46263</v>
      </c>
      <c r="F1179">
        <v>680319.98</v>
      </c>
      <c r="G1179" t="s">
        <v>2557</v>
      </c>
      <c r="H1179">
        <v>680319.98</v>
      </c>
      <c r="I1179">
        <v>0</v>
      </c>
      <c r="J1179">
        <v>2</v>
      </c>
      <c r="K1179" t="s">
        <v>2558</v>
      </c>
    </row>
    <row r="1180" spans="1:11">
      <c r="A1180" t="s">
        <v>2655</v>
      </c>
      <c r="B1180" t="s">
        <v>2376</v>
      </c>
      <c r="C1180" t="s">
        <v>2640</v>
      </c>
      <c r="D1180" s="1">
        <v>46233</v>
      </c>
      <c r="E1180" s="1">
        <v>46293</v>
      </c>
      <c r="F1180">
        <v>83652.03</v>
      </c>
      <c r="G1180" t="s">
        <v>2560</v>
      </c>
      <c r="H1180">
        <v>83652.03</v>
      </c>
      <c r="I1180">
        <v>0</v>
      </c>
      <c r="J1180">
        <v>-28</v>
      </c>
      <c r="K1180" t="s">
        <v>2558</v>
      </c>
    </row>
    <row r="1181" spans="1:11">
      <c r="A1181" t="s">
        <v>2655</v>
      </c>
      <c r="B1181" t="s">
        <v>1724</v>
      </c>
      <c r="C1181" t="s">
        <v>2597</v>
      </c>
      <c r="D1181" s="1">
        <v>46233</v>
      </c>
      <c r="E1181" s="1">
        <v>46278</v>
      </c>
      <c r="F1181">
        <v>56902.559999999998</v>
      </c>
      <c r="G1181" t="s">
        <v>2574</v>
      </c>
      <c r="H1181">
        <v>56902.559999999998</v>
      </c>
      <c r="I1181">
        <v>0</v>
      </c>
      <c r="J1181">
        <v>-13</v>
      </c>
      <c r="K1181" t="s">
        <v>2558</v>
      </c>
    </row>
    <row r="1182" spans="1:11">
      <c r="A1182" t="s">
        <v>2655</v>
      </c>
      <c r="B1182" t="s">
        <v>1865</v>
      </c>
      <c r="C1182" t="s">
        <v>2581</v>
      </c>
      <c r="D1182" s="1">
        <v>46233</v>
      </c>
      <c r="E1182" s="1">
        <v>46248</v>
      </c>
      <c r="F1182">
        <v>618897.98</v>
      </c>
      <c r="G1182" t="s">
        <v>2562</v>
      </c>
      <c r="H1182">
        <v>618897.98</v>
      </c>
      <c r="I1182">
        <v>0</v>
      </c>
      <c r="J1182">
        <v>17</v>
      </c>
      <c r="K1182" t="s">
        <v>2558</v>
      </c>
    </row>
    <row r="1183" spans="1:11">
      <c r="A1183" t="s">
        <v>2655</v>
      </c>
      <c r="B1183" t="s">
        <v>2755</v>
      </c>
      <c r="C1183" t="s">
        <v>2580</v>
      </c>
      <c r="D1183" s="1">
        <v>46233</v>
      </c>
      <c r="E1183" s="1">
        <v>46248</v>
      </c>
      <c r="F1183">
        <v>17730.45</v>
      </c>
      <c r="G1183" t="s">
        <v>2557</v>
      </c>
      <c r="I1183">
        <v>17730.45</v>
      </c>
      <c r="J1183">
        <v>17</v>
      </c>
      <c r="K1183" t="s">
        <v>2647</v>
      </c>
    </row>
    <row r="1184" spans="1:11">
      <c r="A1184" t="s">
        <v>2655</v>
      </c>
      <c r="B1184" t="s">
        <v>2756</v>
      </c>
      <c r="C1184" t="s">
        <v>2590</v>
      </c>
      <c r="D1184" s="1">
        <v>46233</v>
      </c>
      <c r="E1184" s="1">
        <v>46263</v>
      </c>
      <c r="F1184">
        <v>38493.29</v>
      </c>
      <c r="G1184" t="s">
        <v>2562</v>
      </c>
      <c r="I1184">
        <v>38493.29</v>
      </c>
      <c r="J1184">
        <v>2</v>
      </c>
      <c r="K1184" t="s">
        <v>2647</v>
      </c>
    </row>
    <row r="1185" spans="1:11">
      <c r="A1185" t="s">
        <v>2655</v>
      </c>
      <c r="B1185" t="s">
        <v>2053</v>
      </c>
      <c r="C1185" t="s">
        <v>2564</v>
      </c>
      <c r="D1185" s="1">
        <v>46233</v>
      </c>
      <c r="E1185" s="1">
        <v>46293</v>
      </c>
      <c r="F1185">
        <v>91770.79</v>
      </c>
      <c r="G1185" t="s">
        <v>2562</v>
      </c>
      <c r="H1185">
        <v>91770.79</v>
      </c>
      <c r="I1185">
        <v>0</v>
      </c>
      <c r="J1185">
        <v>-28</v>
      </c>
      <c r="K1185" t="s">
        <v>2558</v>
      </c>
    </row>
    <row r="1186" spans="1:11">
      <c r="A1186" t="s">
        <v>2655</v>
      </c>
      <c r="B1186" t="s">
        <v>2083</v>
      </c>
      <c r="C1186" t="s">
        <v>2602</v>
      </c>
      <c r="D1186" s="1">
        <v>46234</v>
      </c>
      <c r="E1186" s="1">
        <v>46294</v>
      </c>
      <c r="F1186">
        <v>156379.76</v>
      </c>
      <c r="G1186" t="s">
        <v>2562</v>
      </c>
      <c r="H1186">
        <v>156379.76</v>
      </c>
      <c r="I1186">
        <v>0</v>
      </c>
      <c r="J1186">
        <v>-29</v>
      </c>
      <c r="K1186" t="s">
        <v>2558</v>
      </c>
    </row>
    <row r="1187" spans="1:11">
      <c r="A1187" t="s">
        <v>2655</v>
      </c>
      <c r="B1187" t="s">
        <v>2757</v>
      </c>
      <c r="C1187" t="s">
        <v>2561</v>
      </c>
      <c r="D1187" s="1">
        <v>46234</v>
      </c>
      <c r="E1187" s="1">
        <v>46279</v>
      </c>
      <c r="F1187">
        <v>156586.25</v>
      </c>
      <c r="G1187" t="s">
        <v>2562</v>
      </c>
      <c r="I1187">
        <v>156586.25</v>
      </c>
      <c r="J1187">
        <v>-14</v>
      </c>
      <c r="K1187" t="s">
        <v>2669</v>
      </c>
    </row>
    <row r="1188" spans="1:11">
      <c r="A1188" t="s">
        <v>2655</v>
      </c>
      <c r="B1188" t="s">
        <v>2758</v>
      </c>
      <c r="C1188" t="s">
        <v>2556</v>
      </c>
      <c r="D1188" s="1">
        <v>46234</v>
      </c>
      <c r="E1188" s="1">
        <v>46264</v>
      </c>
      <c r="F1188">
        <v>91954.43</v>
      </c>
      <c r="G1188" t="s">
        <v>2557</v>
      </c>
      <c r="I1188">
        <v>91954.43</v>
      </c>
      <c r="J1188">
        <v>1</v>
      </c>
      <c r="K1188" t="s">
        <v>2647</v>
      </c>
    </row>
    <row r="1189" spans="1:11">
      <c r="A1189" t="s">
        <v>2655</v>
      </c>
      <c r="B1189" t="s">
        <v>2759</v>
      </c>
      <c r="C1189" t="s">
        <v>2582</v>
      </c>
      <c r="D1189" s="1">
        <v>46234</v>
      </c>
      <c r="E1189" s="1">
        <v>46264</v>
      </c>
      <c r="F1189">
        <v>377833.59</v>
      </c>
      <c r="G1189" t="s">
        <v>2557</v>
      </c>
      <c r="I1189">
        <v>377833.59</v>
      </c>
      <c r="J1189">
        <v>1</v>
      </c>
      <c r="K1189" t="s">
        <v>2647</v>
      </c>
    </row>
    <row r="1190" spans="1:11">
      <c r="A1190" t="s">
        <v>2655</v>
      </c>
      <c r="B1190" t="s">
        <v>2760</v>
      </c>
      <c r="C1190" t="s">
        <v>2571</v>
      </c>
      <c r="D1190" s="1">
        <v>46234</v>
      </c>
      <c r="E1190" s="1">
        <v>46279</v>
      </c>
      <c r="F1190">
        <v>595011.27</v>
      </c>
      <c r="G1190" t="s">
        <v>2568</v>
      </c>
      <c r="I1190">
        <v>595011.27</v>
      </c>
      <c r="J1190">
        <v>-14</v>
      </c>
      <c r="K1190" t="s">
        <v>2669</v>
      </c>
    </row>
    <row r="1191" spans="1:11">
      <c r="A1191" t="s">
        <v>2655</v>
      </c>
      <c r="B1191" t="s">
        <v>1764</v>
      </c>
      <c r="C1191" t="s">
        <v>2572</v>
      </c>
      <c r="D1191" s="1">
        <v>46234</v>
      </c>
      <c r="E1191" s="1">
        <v>46249</v>
      </c>
      <c r="F1191">
        <v>60059.58</v>
      </c>
      <c r="G1191" t="s">
        <v>2557</v>
      </c>
      <c r="H1191">
        <v>60059.58</v>
      </c>
      <c r="I1191">
        <v>0</v>
      </c>
      <c r="J1191">
        <v>16</v>
      </c>
      <c r="K1191" t="s">
        <v>2558</v>
      </c>
    </row>
    <row r="1192" spans="1:11">
      <c r="A1192" t="s">
        <v>2655</v>
      </c>
      <c r="B1192" t="s">
        <v>2761</v>
      </c>
      <c r="C1192" t="s">
        <v>2576</v>
      </c>
      <c r="D1192" s="1">
        <v>46234</v>
      </c>
      <c r="E1192" s="1">
        <v>46279</v>
      </c>
      <c r="F1192">
        <v>70635.06</v>
      </c>
      <c r="G1192" t="s">
        <v>2566</v>
      </c>
      <c r="I1192">
        <v>70635.06</v>
      </c>
      <c r="J1192">
        <v>-14</v>
      </c>
      <c r="K1192" t="s">
        <v>2669</v>
      </c>
    </row>
    <row r="1193" spans="1:11">
      <c r="A1193" t="s">
        <v>2655</v>
      </c>
      <c r="B1193" t="s">
        <v>2762</v>
      </c>
      <c r="C1193" t="s">
        <v>2594</v>
      </c>
      <c r="D1193" s="1">
        <v>46234</v>
      </c>
      <c r="E1193" s="1">
        <v>46264</v>
      </c>
      <c r="F1193">
        <v>801666.62</v>
      </c>
      <c r="G1193" t="s">
        <v>2557</v>
      </c>
      <c r="I1193">
        <v>801666.62</v>
      </c>
      <c r="J1193">
        <v>1</v>
      </c>
      <c r="K1193" t="s">
        <v>2647</v>
      </c>
    </row>
    <row r="1194" spans="1:11">
      <c r="A1194" t="s">
        <v>2655</v>
      </c>
      <c r="B1194" t="s">
        <v>2168</v>
      </c>
      <c r="C1194" t="s">
        <v>2585</v>
      </c>
      <c r="D1194" s="1">
        <v>46234</v>
      </c>
      <c r="E1194" s="1">
        <v>46264</v>
      </c>
      <c r="F1194">
        <v>122472.19</v>
      </c>
      <c r="G1194" t="s">
        <v>2562</v>
      </c>
      <c r="H1194">
        <v>122472.19</v>
      </c>
      <c r="I1194">
        <v>0</v>
      </c>
      <c r="J1194">
        <v>1</v>
      </c>
      <c r="K1194" t="s">
        <v>2558</v>
      </c>
    </row>
    <row r="1195" spans="1:11">
      <c r="A1195" t="s">
        <v>2655</v>
      </c>
      <c r="B1195" t="s">
        <v>2763</v>
      </c>
      <c r="C1195" t="s">
        <v>2595</v>
      </c>
      <c r="D1195" s="1">
        <v>46234</v>
      </c>
      <c r="E1195" s="1">
        <v>46264</v>
      </c>
      <c r="F1195">
        <v>598110.31000000006</v>
      </c>
      <c r="G1195" t="s">
        <v>2568</v>
      </c>
      <c r="I1195">
        <v>598110.31000000006</v>
      </c>
      <c r="J1195">
        <v>1</v>
      </c>
      <c r="K1195" t="s">
        <v>2647</v>
      </c>
    </row>
    <row r="1196" spans="1:11">
      <c r="A1196" t="s">
        <v>2655</v>
      </c>
      <c r="B1196" t="s">
        <v>2764</v>
      </c>
      <c r="C1196" t="s">
        <v>2561</v>
      </c>
      <c r="D1196" s="1">
        <v>46234</v>
      </c>
      <c r="E1196" s="1">
        <v>46279</v>
      </c>
      <c r="F1196">
        <v>1002886.81</v>
      </c>
      <c r="G1196" t="s">
        <v>2562</v>
      </c>
      <c r="I1196">
        <v>1002886.81</v>
      </c>
      <c r="J1196">
        <v>-14</v>
      </c>
      <c r="K1196" t="s">
        <v>2669</v>
      </c>
    </row>
    <row r="1197" spans="1:11">
      <c r="A1197" t="s">
        <v>2655</v>
      </c>
      <c r="B1197" t="s">
        <v>1855</v>
      </c>
      <c r="C1197" t="s">
        <v>2569</v>
      </c>
      <c r="D1197" s="1">
        <v>46221</v>
      </c>
      <c r="E1197" s="1">
        <v>46236</v>
      </c>
      <c r="F1197">
        <v>60510.86</v>
      </c>
      <c r="G1197" t="s">
        <v>2557</v>
      </c>
      <c r="H1197">
        <v>60510.86</v>
      </c>
      <c r="I1197">
        <v>0</v>
      </c>
      <c r="J1197">
        <v>29</v>
      </c>
      <c r="K1197" t="s">
        <v>2558</v>
      </c>
    </row>
    <row r="1198" spans="1:11">
      <c r="A1198" t="s">
        <v>2765</v>
      </c>
      <c r="B1198" t="s">
        <v>2378</v>
      </c>
      <c r="C1198" t="s">
        <v>2556</v>
      </c>
      <c r="D1198" s="1">
        <v>46235</v>
      </c>
      <c r="E1198" s="1">
        <v>46265</v>
      </c>
      <c r="F1198">
        <v>196731.7</v>
      </c>
      <c r="G1198" t="s">
        <v>2557</v>
      </c>
      <c r="H1198">
        <v>196731.7</v>
      </c>
      <c r="I1198">
        <v>0</v>
      </c>
      <c r="J1198">
        <v>0</v>
      </c>
      <c r="K1198" t="s">
        <v>2558</v>
      </c>
    </row>
    <row r="1199" spans="1:11">
      <c r="A1199" t="s">
        <v>2765</v>
      </c>
      <c r="B1199" t="s">
        <v>1688</v>
      </c>
      <c r="C1199" t="s">
        <v>2565</v>
      </c>
      <c r="D1199" s="1">
        <v>46235</v>
      </c>
      <c r="E1199" s="1">
        <v>46250</v>
      </c>
      <c r="F1199">
        <v>5000</v>
      </c>
      <c r="G1199" t="s">
        <v>2566</v>
      </c>
      <c r="H1199">
        <v>5000</v>
      </c>
      <c r="I1199">
        <v>0</v>
      </c>
      <c r="J1199">
        <v>15</v>
      </c>
      <c r="K1199" t="s">
        <v>2558</v>
      </c>
    </row>
    <row r="1200" spans="1:11">
      <c r="A1200" t="s">
        <v>2765</v>
      </c>
      <c r="B1200" t="s">
        <v>2327</v>
      </c>
      <c r="C1200" t="s">
        <v>2582</v>
      </c>
      <c r="D1200" s="1">
        <v>46235</v>
      </c>
      <c r="E1200" s="1">
        <v>46265</v>
      </c>
      <c r="F1200">
        <v>326361.84999999998</v>
      </c>
      <c r="G1200" t="s">
        <v>2557</v>
      </c>
      <c r="H1200">
        <v>326361.84999999998</v>
      </c>
      <c r="I1200">
        <v>0</v>
      </c>
      <c r="J1200">
        <v>0</v>
      </c>
      <c r="K1200" t="s">
        <v>2558</v>
      </c>
    </row>
    <row r="1201" spans="1:11">
      <c r="A1201" t="s">
        <v>2765</v>
      </c>
      <c r="B1201" t="s">
        <v>1918</v>
      </c>
      <c r="C1201" t="s">
        <v>2564</v>
      </c>
      <c r="D1201" s="1">
        <v>46235</v>
      </c>
      <c r="E1201" s="1">
        <v>46295</v>
      </c>
      <c r="F1201">
        <v>199742.78</v>
      </c>
      <c r="G1201" t="s">
        <v>2562</v>
      </c>
      <c r="H1201">
        <v>199742.78</v>
      </c>
      <c r="I1201">
        <v>0</v>
      </c>
      <c r="J1201">
        <v>-30</v>
      </c>
      <c r="K1201" t="s">
        <v>2558</v>
      </c>
    </row>
    <row r="1202" spans="1:11">
      <c r="A1202" t="s">
        <v>2765</v>
      </c>
      <c r="B1202" t="s">
        <v>1548</v>
      </c>
      <c r="C1202" t="s">
        <v>2571</v>
      </c>
      <c r="D1202" s="1">
        <v>46235</v>
      </c>
      <c r="E1202" s="1">
        <v>46280</v>
      </c>
      <c r="F1202">
        <v>1210920.8500000001</v>
      </c>
      <c r="G1202" t="s">
        <v>2568</v>
      </c>
      <c r="H1202">
        <v>353055.02</v>
      </c>
      <c r="I1202">
        <v>857865.83</v>
      </c>
      <c r="J1202">
        <v>-15</v>
      </c>
      <c r="K1202" t="s">
        <v>2669</v>
      </c>
    </row>
    <row r="1203" spans="1:11">
      <c r="A1203" t="s">
        <v>2765</v>
      </c>
      <c r="B1203" t="s">
        <v>2380</v>
      </c>
      <c r="C1203" t="s">
        <v>2569</v>
      </c>
      <c r="D1203" s="1">
        <v>46235</v>
      </c>
      <c r="E1203" s="1">
        <v>46250</v>
      </c>
      <c r="F1203">
        <v>22222.19</v>
      </c>
      <c r="G1203" t="s">
        <v>2557</v>
      </c>
      <c r="H1203">
        <v>11794.5</v>
      </c>
      <c r="I1203">
        <v>10427.69</v>
      </c>
      <c r="J1203">
        <v>15</v>
      </c>
      <c r="K1203" t="s">
        <v>2647</v>
      </c>
    </row>
    <row r="1204" spans="1:11">
      <c r="A1204" t="s">
        <v>2765</v>
      </c>
      <c r="B1204" t="s">
        <v>2444</v>
      </c>
      <c r="C1204" t="s">
        <v>2612</v>
      </c>
      <c r="D1204" s="1">
        <v>46235</v>
      </c>
      <c r="E1204" s="1">
        <v>46265</v>
      </c>
      <c r="F1204">
        <v>33413.050000000003</v>
      </c>
      <c r="G1204" t="s">
        <v>2566</v>
      </c>
      <c r="H1204">
        <v>33413.050000000003</v>
      </c>
      <c r="I1204">
        <v>0</v>
      </c>
      <c r="J1204">
        <v>0</v>
      </c>
      <c r="K1204" t="s">
        <v>2558</v>
      </c>
    </row>
    <row r="1205" spans="1:11">
      <c r="A1205" t="s">
        <v>2765</v>
      </c>
      <c r="B1205" t="s">
        <v>2766</v>
      </c>
      <c r="C1205" t="s">
        <v>2599</v>
      </c>
      <c r="D1205" s="1">
        <v>46235</v>
      </c>
      <c r="E1205" s="1">
        <v>46295</v>
      </c>
      <c r="F1205">
        <v>862417.21</v>
      </c>
      <c r="G1205" t="s">
        <v>2562</v>
      </c>
      <c r="I1205">
        <v>862417.21</v>
      </c>
      <c r="J1205">
        <v>-30</v>
      </c>
      <c r="K1205" t="s">
        <v>2669</v>
      </c>
    </row>
    <row r="1206" spans="1:11">
      <c r="A1206" t="s">
        <v>2765</v>
      </c>
      <c r="B1206" t="s">
        <v>2085</v>
      </c>
      <c r="C1206" t="s">
        <v>2556</v>
      </c>
      <c r="D1206" s="1">
        <v>46235</v>
      </c>
      <c r="E1206" s="1">
        <v>46265</v>
      </c>
      <c r="F1206">
        <v>107573.15</v>
      </c>
      <c r="G1206" t="s">
        <v>2557</v>
      </c>
      <c r="H1206">
        <v>107573.15</v>
      </c>
      <c r="I1206">
        <v>0</v>
      </c>
      <c r="J1206">
        <v>0</v>
      </c>
      <c r="K1206" t="s">
        <v>2558</v>
      </c>
    </row>
    <row r="1207" spans="1:11">
      <c r="A1207" t="s">
        <v>2765</v>
      </c>
      <c r="B1207" t="s">
        <v>2329</v>
      </c>
      <c r="C1207" t="s">
        <v>2569</v>
      </c>
      <c r="D1207" s="1">
        <v>46235</v>
      </c>
      <c r="E1207" s="1">
        <v>46250</v>
      </c>
      <c r="F1207">
        <v>113551.38</v>
      </c>
      <c r="G1207" t="s">
        <v>2557</v>
      </c>
      <c r="H1207">
        <v>113551.38</v>
      </c>
      <c r="I1207">
        <v>0</v>
      </c>
      <c r="J1207">
        <v>15</v>
      </c>
      <c r="K1207" t="s">
        <v>2558</v>
      </c>
    </row>
    <row r="1208" spans="1:11">
      <c r="A1208" t="s">
        <v>2765</v>
      </c>
      <c r="B1208" t="s">
        <v>2767</v>
      </c>
      <c r="C1208" t="s">
        <v>2583</v>
      </c>
      <c r="D1208" s="1">
        <v>46235</v>
      </c>
      <c r="E1208" s="1">
        <v>46295</v>
      </c>
      <c r="F1208">
        <v>145290.51</v>
      </c>
      <c r="G1208" t="s">
        <v>2562</v>
      </c>
      <c r="I1208">
        <v>145290.51</v>
      </c>
      <c r="J1208">
        <v>-30</v>
      </c>
      <c r="K1208" t="s">
        <v>2669</v>
      </c>
    </row>
    <row r="1209" spans="1:11">
      <c r="A1209" t="s">
        <v>2765</v>
      </c>
      <c r="B1209" t="s">
        <v>2768</v>
      </c>
      <c r="C1209" t="s">
        <v>2619</v>
      </c>
      <c r="D1209" s="1">
        <v>46235</v>
      </c>
      <c r="E1209" s="1">
        <v>46265</v>
      </c>
      <c r="F1209">
        <v>51935.16</v>
      </c>
      <c r="G1209" t="s">
        <v>2560</v>
      </c>
      <c r="I1209">
        <v>51935.16</v>
      </c>
      <c r="J1209">
        <v>0</v>
      </c>
      <c r="K1209" t="s">
        <v>2669</v>
      </c>
    </row>
    <row r="1210" spans="1:11">
      <c r="A1210" t="s">
        <v>2765</v>
      </c>
      <c r="B1210" t="s">
        <v>2769</v>
      </c>
      <c r="C1210" t="s">
        <v>2582</v>
      </c>
      <c r="D1210" s="1">
        <v>46235</v>
      </c>
      <c r="E1210" s="1">
        <v>46265</v>
      </c>
      <c r="F1210">
        <v>149620.65</v>
      </c>
      <c r="G1210" t="s">
        <v>2557</v>
      </c>
      <c r="I1210">
        <v>149620.65</v>
      </c>
      <c r="J1210">
        <v>0</v>
      </c>
      <c r="K1210" t="s">
        <v>2669</v>
      </c>
    </row>
    <row r="1211" spans="1:11">
      <c r="A1211" t="s">
        <v>2765</v>
      </c>
      <c r="B1211" t="s">
        <v>2518</v>
      </c>
      <c r="C1211" t="s">
        <v>2576</v>
      </c>
      <c r="D1211" s="1">
        <v>46236</v>
      </c>
      <c r="E1211" s="1">
        <v>46281</v>
      </c>
      <c r="F1211">
        <v>850334.92</v>
      </c>
      <c r="G1211" t="s">
        <v>2566</v>
      </c>
      <c r="H1211">
        <v>850334.92</v>
      </c>
      <c r="I1211">
        <v>0</v>
      </c>
      <c r="J1211">
        <v>-16</v>
      </c>
      <c r="K1211" t="s">
        <v>2558</v>
      </c>
    </row>
    <row r="1212" spans="1:11">
      <c r="A1212" t="s">
        <v>2765</v>
      </c>
      <c r="B1212" t="s">
        <v>2331</v>
      </c>
      <c r="C1212" t="s">
        <v>2640</v>
      </c>
      <c r="D1212" s="1">
        <v>46236</v>
      </c>
      <c r="E1212" s="1">
        <v>46296</v>
      </c>
      <c r="F1212">
        <v>72994.740000000005</v>
      </c>
      <c r="G1212" t="s">
        <v>2560</v>
      </c>
      <c r="H1212">
        <v>72994.740000000005</v>
      </c>
      <c r="I1212">
        <v>0</v>
      </c>
      <c r="J1212">
        <v>-31</v>
      </c>
      <c r="K1212" t="s">
        <v>2558</v>
      </c>
    </row>
    <row r="1213" spans="1:11">
      <c r="A1213" t="s">
        <v>2765</v>
      </c>
      <c r="B1213" t="s">
        <v>1550</v>
      </c>
      <c r="C1213" t="s">
        <v>2623</v>
      </c>
      <c r="D1213" s="1">
        <v>46236</v>
      </c>
      <c r="E1213" s="1">
        <v>46266</v>
      </c>
      <c r="F1213">
        <v>54970.48</v>
      </c>
      <c r="G1213" t="s">
        <v>2562</v>
      </c>
      <c r="H1213">
        <v>54970.48</v>
      </c>
      <c r="I1213">
        <v>0</v>
      </c>
      <c r="J1213">
        <v>-1</v>
      </c>
      <c r="K1213" t="s">
        <v>2558</v>
      </c>
    </row>
    <row r="1214" spans="1:11">
      <c r="A1214" t="s">
        <v>2765</v>
      </c>
      <c r="B1214" t="s">
        <v>2770</v>
      </c>
      <c r="C1214" t="s">
        <v>2567</v>
      </c>
      <c r="D1214" s="1">
        <v>46236</v>
      </c>
      <c r="E1214" s="1">
        <v>46281</v>
      </c>
      <c r="F1214">
        <v>207166.72</v>
      </c>
      <c r="G1214" t="s">
        <v>2568</v>
      </c>
      <c r="I1214">
        <v>207166.72</v>
      </c>
      <c r="J1214">
        <v>-16</v>
      </c>
      <c r="K1214" t="s">
        <v>2669</v>
      </c>
    </row>
    <row r="1215" spans="1:11">
      <c r="A1215" t="s">
        <v>2765</v>
      </c>
      <c r="B1215" t="s">
        <v>2382</v>
      </c>
      <c r="C1215" t="s">
        <v>2579</v>
      </c>
      <c r="D1215" s="1">
        <v>46236</v>
      </c>
      <c r="E1215" s="1">
        <v>46266</v>
      </c>
      <c r="F1215">
        <v>417755.41</v>
      </c>
      <c r="G1215" t="s">
        <v>2557</v>
      </c>
      <c r="H1215">
        <v>417755.41</v>
      </c>
      <c r="I1215">
        <v>0</v>
      </c>
      <c r="J1215">
        <v>-1</v>
      </c>
      <c r="K1215" t="s">
        <v>2558</v>
      </c>
    </row>
    <row r="1216" spans="1:11">
      <c r="A1216" t="s">
        <v>2765</v>
      </c>
      <c r="B1216" t="s">
        <v>2771</v>
      </c>
      <c r="C1216" t="s">
        <v>2583</v>
      </c>
      <c r="D1216" s="1">
        <v>46236</v>
      </c>
      <c r="E1216" s="1">
        <v>46296</v>
      </c>
      <c r="F1216">
        <v>113507.01</v>
      </c>
      <c r="G1216" t="s">
        <v>2562</v>
      </c>
      <c r="I1216">
        <v>113507.01</v>
      </c>
      <c r="J1216">
        <v>-31</v>
      </c>
      <c r="K1216" t="s">
        <v>2669</v>
      </c>
    </row>
    <row r="1217" spans="1:11">
      <c r="A1217" t="s">
        <v>2765</v>
      </c>
      <c r="B1217" t="s">
        <v>1867</v>
      </c>
      <c r="C1217" t="s">
        <v>2598</v>
      </c>
      <c r="D1217" s="1">
        <v>46237</v>
      </c>
      <c r="E1217" s="1">
        <v>46267</v>
      </c>
      <c r="F1217">
        <v>274898.94</v>
      </c>
      <c r="G1217" t="s">
        <v>2566</v>
      </c>
      <c r="H1217">
        <v>274898.94</v>
      </c>
      <c r="I1217">
        <v>0</v>
      </c>
      <c r="J1217">
        <v>-2</v>
      </c>
      <c r="K1217" t="s">
        <v>2558</v>
      </c>
    </row>
    <row r="1218" spans="1:11">
      <c r="A1218" t="s">
        <v>2765</v>
      </c>
      <c r="B1218" t="s">
        <v>2772</v>
      </c>
      <c r="C1218" t="s">
        <v>2570</v>
      </c>
      <c r="D1218" s="1">
        <v>46237</v>
      </c>
      <c r="E1218" s="1">
        <v>46267</v>
      </c>
      <c r="F1218">
        <v>1312470.3</v>
      </c>
      <c r="G1218" t="s">
        <v>2557</v>
      </c>
      <c r="I1218">
        <v>1312470.3</v>
      </c>
      <c r="J1218">
        <v>-2</v>
      </c>
      <c r="K1218" t="s">
        <v>2669</v>
      </c>
    </row>
    <row r="1219" spans="1:11">
      <c r="A1219" t="s">
        <v>2765</v>
      </c>
      <c r="B1219" t="s">
        <v>2773</v>
      </c>
      <c r="C1219" t="s">
        <v>2556</v>
      </c>
      <c r="D1219" s="1">
        <v>46237</v>
      </c>
      <c r="E1219" s="1">
        <v>46267</v>
      </c>
      <c r="F1219">
        <v>55400.91</v>
      </c>
      <c r="G1219" t="s">
        <v>2557</v>
      </c>
      <c r="I1219">
        <v>55400.91</v>
      </c>
      <c r="J1219">
        <v>-2</v>
      </c>
      <c r="K1219" t="s">
        <v>2669</v>
      </c>
    </row>
    <row r="1220" spans="1:11">
      <c r="A1220" t="s">
        <v>2765</v>
      </c>
      <c r="B1220" t="s">
        <v>2446</v>
      </c>
      <c r="C1220" t="s">
        <v>2607</v>
      </c>
      <c r="D1220" s="1">
        <v>46237</v>
      </c>
      <c r="E1220" s="1">
        <v>46267</v>
      </c>
      <c r="F1220">
        <v>69713.3</v>
      </c>
      <c r="G1220" t="s">
        <v>2562</v>
      </c>
      <c r="H1220">
        <v>69713.3</v>
      </c>
      <c r="I1220">
        <v>0</v>
      </c>
      <c r="J1220">
        <v>-2</v>
      </c>
      <c r="K1220" t="s">
        <v>2558</v>
      </c>
    </row>
    <row r="1221" spans="1:11">
      <c r="A1221" t="s">
        <v>2765</v>
      </c>
      <c r="B1221" t="s">
        <v>2774</v>
      </c>
      <c r="C1221" t="s">
        <v>2602</v>
      </c>
      <c r="D1221" s="1">
        <v>46237</v>
      </c>
      <c r="E1221" s="1">
        <v>46297</v>
      </c>
      <c r="F1221">
        <v>35773.769999999997</v>
      </c>
      <c r="G1221" t="s">
        <v>2562</v>
      </c>
      <c r="I1221">
        <v>35773.769999999997</v>
      </c>
      <c r="J1221">
        <v>-32</v>
      </c>
      <c r="K1221" t="s">
        <v>2669</v>
      </c>
    </row>
    <row r="1222" spans="1:11">
      <c r="A1222" t="s">
        <v>2765</v>
      </c>
      <c r="B1222" t="s">
        <v>1920</v>
      </c>
      <c r="C1222" t="s">
        <v>2579</v>
      </c>
      <c r="D1222" s="1">
        <v>46237</v>
      </c>
      <c r="E1222" s="1">
        <v>46267</v>
      </c>
      <c r="F1222">
        <v>2000000</v>
      </c>
      <c r="G1222" t="s">
        <v>2557</v>
      </c>
      <c r="H1222">
        <v>2000000</v>
      </c>
      <c r="I1222">
        <v>0</v>
      </c>
      <c r="J1222">
        <v>-2</v>
      </c>
      <c r="K1222" t="s">
        <v>2558</v>
      </c>
    </row>
    <row r="1223" spans="1:11">
      <c r="A1223" t="s">
        <v>2765</v>
      </c>
      <c r="B1223" t="s">
        <v>2224</v>
      </c>
      <c r="C1223" t="s">
        <v>2587</v>
      </c>
      <c r="D1223" s="1">
        <v>46237</v>
      </c>
      <c r="E1223" s="1">
        <v>46297</v>
      </c>
      <c r="F1223">
        <v>507556.12</v>
      </c>
      <c r="G1223" t="s">
        <v>2568</v>
      </c>
      <c r="H1223">
        <v>507556.12</v>
      </c>
      <c r="I1223">
        <v>0</v>
      </c>
      <c r="J1223">
        <v>-32</v>
      </c>
      <c r="K1223" t="s">
        <v>2558</v>
      </c>
    </row>
    <row r="1224" spans="1:11">
      <c r="A1224" t="s">
        <v>2765</v>
      </c>
      <c r="B1224" t="s">
        <v>1473</v>
      </c>
      <c r="C1224" t="s">
        <v>2559</v>
      </c>
      <c r="D1224" s="1">
        <v>46237</v>
      </c>
      <c r="E1224" s="1">
        <v>46252</v>
      </c>
      <c r="F1224">
        <v>55210.89</v>
      </c>
      <c r="G1224" t="s">
        <v>2560</v>
      </c>
      <c r="H1224">
        <v>55210.89</v>
      </c>
      <c r="I1224">
        <v>0</v>
      </c>
      <c r="J1224">
        <v>13</v>
      </c>
      <c r="K1224" t="s">
        <v>2558</v>
      </c>
    </row>
    <row r="1225" spans="1:11">
      <c r="A1225" t="s">
        <v>2765</v>
      </c>
      <c r="B1225" t="s">
        <v>1726</v>
      </c>
      <c r="C1225" t="s">
        <v>2559</v>
      </c>
      <c r="D1225" s="1">
        <v>46237</v>
      </c>
      <c r="E1225" s="1">
        <v>46252</v>
      </c>
      <c r="F1225">
        <v>9797.7199999999993</v>
      </c>
      <c r="G1225" t="s">
        <v>2560</v>
      </c>
      <c r="H1225">
        <v>9797.7199999999993</v>
      </c>
      <c r="I1225">
        <v>0</v>
      </c>
      <c r="J1225">
        <v>13</v>
      </c>
      <c r="K1225" t="s">
        <v>2558</v>
      </c>
    </row>
    <row r="1226" spans="1:11">
      <c r="A1226" t="s">
        <v>2765</v>
      </c>
      <c r="B1226" t="s">
        <v>2775</v>
      </c>
      <c r="C1226" t="s">
        <v>2582</v>
      </c>
      <c r="D1226" s="1">
        <v>46237</v>
      </c>
      <c r="E1226" s="1">
        <v>46267</v>
      </c>
      <c r="F1226">
        <v>139844.48000000001</v>
      </c>
      <c r="G1226" t="s">
        <v>2557</v>
      </c>
      <c r="I1226">
        <v>139844.48000000001</v>
      </c>
      <c r="J1226">
        <v>-2</v>
      </c>
      <c r="K1226" t="s">
        <v>2669</v>
      </c>
    </row>
    <row r="1227" spans="1:11">
      <c r="A1227" t="s">
        <v>2765</v>
      </c>
      <c r="B1227" t="s">
        <v>2776</v>
      </c>
      <c r="C1227" t="s">
        <v>2564</v>
      </c>
      <c r="D1227" s="1">
        <v>46238</v>
      </c>
      <c r="E1227" s="1">
        <v>46298</v>
      </c>
      <c r="F1227">
        <v>616437.43999999994</v>
      </c>
      <c r="G1227" t="s">
        <v>2562</v>
      </c>
      <c r="I1227">
        <v>616437.43999999994</v>
      </c>
      <c r="J1227">
        <v>-33</v>
      </c>
      <c r="K1227" t="s">
        <v>2669</v>
      </c>
    </row>
    <row r="1228" spans="1:11">
      <c r="A1228" t="s">
        <v>2765</v>
      </c>
      <c r="B1228" t="s">
        <v>2777</v>
      </c>
      <c r="C1228" t="s">
        <v>2576</v>
      </c>
      <c r="D1228" s="1">
        <v>46238</v>
      </c>
      <c r="E1228" s="1">
        <v>46283</v>
      </c>
      <c r="F1228">
        <v>298882.78000000003</v>
      </c>
      <c r="G1228" t="s">
        <v>2566</v>
      </c>
      <c r="I1228">
        <v>298882.78000000003</v>
      </c>
      <c r="J1228">
        <v>-18</v>
      </c>
      <c r="K1228" t="s">
        <v>2669</v>
      </c>
    </row>
    <row r="1229" spans="1:11">
      <c r="A1229" t="s">
        <v>2765</v>
      </c>
      <c r="B1229" t="s">
        <v>2271</v>
      </c>
      <c r="C1229" t="s">
        <v>2594</v>
      </c>
      <c r="D1229" s="1">
        <v>46238</v>
      </c>
      <c r="E1229" s="1">
        <v>46268</v>
      </c>
      <c r="F1229">
        <v>388993.55</v>
      </c>
      <c r="G1229" t="s">
        <v>2557</v>
      </c>
      <c r="H1229">
        <v>388993.55</v>
      </c>
      <c r="I1229">
        <v>0</v>
      </c>
      <c r="J1229">
        <v>-3</v>
      </c>
      <c r="K1229" t="s">
        <v>2558</v>
      </c>
    </row>
    <row r="1230" spans="1:11">
      <c r="A1230" t="s">
        <v>2765</v>
      </c>
      <c r="B1230" t="s">
        <v>2333</v>
      </c>
      <c r="C1230" t="s">
        <v>2582</v>
      </c>
      <c r="D1230" s="1">
        <v>46238</v>
      </c>
      <c r="E1230" s="1">
        <v>46268</v>
      </c>
      <c r="F1230">
        <v>1258759.5</v>
      </c>
      <c r="G1230" t="s">
        <v>2557</v>
      </c>
      <c r="H1230">
        <v>1258759.5</v>
      </c>
      <c r="I1230">
        <v>0</v>
      </c>
      <c r="J1230">
        <v>-3</v>
      </c>
      <c r="K1230" t="s">
        <v>2558</v>
      </c>
    </row>
    <row r="1231" spans="1:11">
      <c r="A1231" t="s">
        <v>2765</v>
      </c>
      <c r="B1231" t="s">
        <v>1690</v>
      </c>
      <c r="C1231" t="s">
        <v>2607</v>
      </c>
      <c r="D1231" s="1">
        <v>46238</v>
      </c>
      <c r="E1231" s="1">
        <v>46268</v>
      </c>
      <c r="F1231">
        <v>56936.28</v>
      </c>
      <c r="G1231" t="s">
        <v>2562</v>
      </c>
      <c r="H1231">
        <v>32383.3</v>
      </c>
      <c r="I1231">
        <v>24552.98</v>
      </c>
      <c r="J1231">
        <v>-3</v>
      </c>
      <c r="K1231" t="s">
        <v>2669</v>
      </c>
    </row>
    <row r="1232" spans="1:11">
      <c r="A1232" t="s">
        <v>2765</v>
      </c>
      <c r="B1232" t="s">
        <v>1963</v>
      </c>
      <c r="C1232" t="s">
        <v>2582</v>
      </c>
      <c r="D1232" s="1">
        <v>46238</v>
      </c>
      <c r="E1232" s="1">
        <v>46268</v>
      </c>
      <c r="F1232">
        <v>53019.49</v>
      </c>
      <c r="G1232" t="s">
        <v>2557</v>
      </c>
      <c r="H1232">
        <v>53019.49</v>
      </c>
      <c r="I1232">
        <v>0</v>
      </c>
      <c r="J1232">
        <v>-3</v>
      </c>
      <c r="K1232" t="s">
        <v>2558</v>
      </c>
    </row>
    <row r="1233" spans="1:11">
      <c r="A1233" t="s">
        <v>2765</v>
      </c>
      <c r="B1233" t="s">
        <v>2087</v>
      </c>
      <c r="C1233" t="s">
        <v>2594</v>
      </c>
      <c r="D1233" s="1">
        <v>46238</v>
      </c>
      <c r="E1233" s="1">
        <v>46268</v>
      </c>
      <c r="F1233">
        <v>60811.21</v>
      </c>
      <c r="G1233" t="s">
        <v>2557</v>
      </c>
      <c r="H1233">
        <v>60811.21</v>
      </c>
      <c r="I1233">
        <v>0</v>
      </c>
      <c r="J1233">
        <v>-3</v>
      </c>
      <c r="K1233" t="s">
        <v>2558</v>
      </c>
    </row>
    <row r="1234" spans="1:11">
      <c r="A1234" t="s">
        <v>2765</v>
      </c>
      <c r="B1234" t="s">
        <v>2778</v>
      </c>
      <c r="C1234" t="s">
        <v>2583</v>
      </c>
      <c r="D1234" s="1">
        <v>46238</v>
      </c>
      <c r="E1234" s="1">
        <v>46298</v>
      </c>
      <c r="F1234">
        <v>643892.4</v>
      </c>
      <c r="G1234" t="s">
        <v>2562</v>
      </c>
      <c r="I1234">
        <v>643892.4</v>
      </c>
      <c r="J1234">
        <v>-33</v>
      </c>
      <c r="K1234" t="s">
        <v>2669</v>
      </c>
    </row>
    <row r="1235" spans="1:11">
      <c r="A1235" t="s">
        <v>2765</v>
      </c>
      <c r="B1235" t="s">
        <v>1766</v>
      </c>
      <c r="C1235" t="s">
        <v>2572</v>
      </c>
      <c r="D1235" s="1">
        <v>46238</v>
      </c>
      <c r="E1235" s="1">
        <v>46253</v>
      </c>
      <c r="F1235">
        <v>94215.58</v>
      </c>
      <c r="G1235" t="s">
        <v>2557</v>
      </c>
      <c r="H1235">
        <v>94215.58</v>
      </c>
      <c r="I1235">
        <v>0</v>
      </c>
      <c r="J1235">
        <v>12</v>
      </c>
      <c r="K1235" t="s">
        <v>2558</v>
      </c>
    </row>
    <row r="1236" spans="1:11">
      <c r="A1236" t="s">
        <v>2765</v>
      </c>
      <c r="B1236" t="s">
        <v>2335</v>
      </c>
      <c r="C1236" t="s">
        <v>2569</v>
      </c>
      <c r="D1236" s="1">
        <v>46238</v>
      </c>
      <c r="E1236" s="1">
        <v>46253</v>
      </c>
      <c r="F1236">
        <v>30771.74</v>
      </c>
      <c r="G1236" t="s">
        <v>2557</v>
      </c>
      <c r="H1236">
        <v>30771.74</v>
      </c>
      <c r="I1236">
        <v>0</v>
      </c>
      <c r="J1236">
        <v>12</v>
      </c>
      <c r="K1236" t="s">
        <v>2558</v>
      </c>
    </row>
    <row r="1237" spans="1:11">
      <c r="A1237" t="s">
        <v>2765</v>
      </c>
      <c r="B1237" t="s">
        <v>2384</v>
      </c>
      <c r="C1237" t="s">
        <v>2601</v>
      </c>
      <c r="D1237" s="1">
        <v>46238</v>
      </c>
      <c r="E1237" s="1">
        <v>46268</v>
      </c>
      <c r="F1237">
        <v>36236.97</v>
      </c>
      <c r="G1237" t="s">
        <v>2574</v>
      </c>
      <c r="H1237">
        <v>36236.97</v>
      </c>
      <c r="I1237">
        <v>0</v>
      </c>
      <c r="J1237">
        <v>-3</v>
      </c>
      <c r="K1237" t="s">
        <v>2558</v>
      </c>
    </row>
    <row r="1238" spans="1:11">
      <c r="A1238" t="s">
        <v>2765</v>
      </c>
      <c r="B1238" t="s">
        <v>2779</v>
      </c>
      <c r="C1238" t="s">
        <v>2583</v>
      </c>
      <c r="D1238" s="1">
        <v>46239</v>
      </c>
      <c r="E1238" s="1">
        <v>46299</v>
      </c>
      <c r="F1238">
        <v>64452.34</v>
      </c>
      <c r="G1238" t="s">
        <v>2562</v>
      </c>
      <c r="I1238">
        <v>64452.34</v>
      </c>
      <c r="J1238">
        <v>-34</v>
      </c>
      <c r="K1238" t="s">
        <v>2669</v>
      </c>
    </row>
    <row r="1239" spans="1:11">
      <c r="A1239" t="s">
        <v>2765</v>
      </c>
      <c r="B1239" t="s">
        <v>2226</v>
      </c>
      <c r="C1239" t="s">
        <v>2588</v>
      </c>
      <c r="D1239" s="1">
        <v>46239</v>
      </c>
      <c r="E1239" s="1">
        <v>46269</v>
      </c>
      <c r="F1239">
        <v>326088.31</v>
      </c>
      <c r="G1239" t="s">
        <v>2562</v>
      </c>
      <c r="H1239">
        <v>326088.31</v>
      </c>
      <c r="I1239">
        <v>0</v>
      </c>
      <c r="J1239">
        <v>-4</v>
      </c>
      <c r="K1239" t="s">
        <v>2558</v>
      </c>
    </row>
    <row r="1240" spans="1:11">
      <c r="A1240" t="s">
        <v>2765</v>
      </c>
      <c r="B1240" t="s">
        <v>1869</v>
      </c>
      <c r="C1240" t="s">
        <v>2573</v>
      </c>
      <c r="D1240" s="1">
        <v>46239</v>
      </c>
      <c r="E1240" s="1">
        <v>46269</v>
      </c>
      <c r="F1240">
        <v>24396.54</v>
      </c>
      <c r="G1240" t="s">
        <v>2574</v>
      </c>
      <c r="H1240">
        <v>24396.54</v>
      </c>
      <c r="I1240">
        <v>0</v>
      </c>
      <c r="J1240">
        <v>-4</v>
      </c>
      <c r="K1240" t="s">
        <v>2558</v>
      </c>
    </row>
    <row r="1241" spans="1:11">
      <c r="A1241" t="s">
        <v>2765</v>
      </c>
      <c r="B1241" t="s">
        <v>2337</v>
      </c>
      <c r="C1241" t="s">
        <v>2588</v>
      </c>
      <c r="D1241" s="1">
        <v>46239</v>
      </c>
      <c r="E1241" s="1">
        <v>46269</v>
      </c>
      <c r="F1241">
        <v>109351.75</v>
      </c>
      <c r="G1241" t="s">
        <v>2562</v>
      </c>
      <c r="H1241">
        <v>109351.75</v>
      </c>
      <c r="I1241">
        <v>0</v>
      </c>
      <c r="J1241">
        <v>-4</v>
      </c>
      <c r="K1241" t="s">
        <v>2558</v>
      </c>
    </row>
    <row r="1242" spans="1:11">
      <c r="A1242" t="s">
        <v>2765</v>
      </c>
      <c r="B1242" t="s">
        <v>2780</v>
      </c>
      <c r="C1242" t="s">
        <v>2588</v>
      </c>
      <c r="D1242" s="1">
        <v>46239</v>
      </c>
      <c r="E1242" s="1">
        <v>46269</v>
      </c>
      <c r="F1242">
        <v>249633.22</v>
      </c>
      <c r="G1242" t="s">
        <v>2562</v>
      </c>
      <c r="I1242">
        <v>249633.22</v>
      </c>
      <c r="J1242">
        <v>-4</v>
      </c>
      <c r="K1242" t="s">
        <v>2669</v>
      </c>
    </row>
    <row r="1243" spans="1:11">
      <c r="A1243" t="s">
        <v>2765</v>
      </c>
      <c r="B1243" t="s">
        <v>2781</v>
      </c>
      <c r="C1243" t="s">
        <v>2583</v>
      </c>
      <c r="D1243" s="1">
        <v>46239</v>
      </c>
      <c r="E1243" s="1">
        <v>46299</v>
      </c>
      <c r="F1243">
        <v>117102.22</v>
      </c>
      <c r="G1243" t="s">
        <v>2562</v>
      </c>
      <c r="I1243">
        <v>117102.22</v>
      </c>
      <c r="J1243">
        <v>-34</v>
      </c>
      <c r="K1243" t="s">
        <v>2669</v>
      </c>
    </row>
    <row r="1244" spans="1:11">
      <c r="A1244" t="s">
        <v>2765</v>
      </c>
      <c r="B1244" t="s">
        <v>2782</v>
      </c>
      <c r="C1244" t="s">
        <v>2583</v>
      </c>
      <c r="D1244" s="1">
        <v>46239</v>
      </c>
      <c r="E1244" s="1">
        <v>46299</v>
      </c>
      <c r="F1244">
        <v>111991.7</v>
      </c>
      <c r="G1244" t="s">
        <v>2562</v>
      </c>
      <c r="I1244">
        <v>111991.7</v>
      </c>
      <c r="J1244">
        <v>-34</v>
      </c>
      <c r="K1244" t="s">
        <v>2669</v>
      </c>
    </row>
    <row r="1245" spans="1:11">
      <c r="A1245" t="s">
        <v>2765</v>
      </c>
      <c r="B1245" t="s">
        <v>2448</v>
      </c>
      <c r="C1245" t="s">
        <v>2585</v>
      </c>
      <c r="D1245" s="1">
        <v>46239</v>
      </c>
      <c r="E1245" s="1">
        <v>46269</v>
      </c>
      <c r="F1245">
        <v>383836.89</v>
      </c>
      <c r="G1245" t="s">
        <v>2562</v>
      </c>
      <c r="H1245">
        <v>383836.89</v>
      </c>
      <c r="I1245">
        <v>0</v>
      </c>
      <c r="J1245">
        <v>-4</v>
      </c>
      <c r="K1245" t="s">
        <v>2558</v>
      </c>
    </row>
    <row r="1246" spans="1:11">
      <c r="A1246" t="s">
        <v>2765</v>
      </c>
      <c r="B1246" t="s">
        <v>2783</v>
      </c>
      <c r="C1246" t="s">
        <v>2561</v>
      </c>
      <c r="D1246" s="1">
        <v>46239</v>
      </c>
      <c r="E1246" s="1">
        <v>46284</v>
      </c>
      <c r="F1246">
        <v>808967.62</v>
      </c>
      <c r="G1246" t="s">
        <v>2562</v>
      </c>
      <c r="I1246">
        <v>808967.62</v>
      </c>
      <c r="J1246">
        <v>-19</v>
      </c>
      <c r="K1246" t="s">
        <v>2669</v>
      </c>
    </row>
    <row r="1247" spans="1:11">
      <c r="A1247" t="s">
        <v>2765</v>
      </c>
      <c r="B1247" t="s">
        <v>2089</v>
      </c>
      <c r="C1247" t="s">
        <v>2578</v>
      </c>
      <c r="D1247" s="1">
        <v>46240</v>
      </c>
      <c r="E1247" s="1">
        <v>46255</v>
      </c>
      <c r="F1247">
        <v>167254.48000000001</v>
      </c>
      <c r="G1247" t="s">
        <v>2562</v>
      </c>
      <c r="H1247">
        <v>167254.47999999998</v>
      </c>
      <c r="I1247">
        <v>0</v>
      </c>
      <c r="J1247">
        <v>10</v>
      </c>
      <c r="K1247" t="s">
        <v>2558</v>
      </c>
    </row>
    <row r="1248" spans="1:11">
      <c r="A1248" t="s">
        <v>2765</v>
      </c>
      <c r="B1248" t="s">
        <v>2784</v>
      </c>
      <c r="C1248" t="s">
        <v>2640</v>
      </c>
      <c r="D1248" s="1">
        <v>46240</v>
      </c>
      <c r="E1248" s="1">
        <v>46300</v>
      </c>
      <c r="F1248">
        <v>244167.47</v>
      </c>
      <c r="G1248" t="s">
        <v>2560</v>
      </c>
      <c r="I1248">
        <v>244167.47</v>
      </c>
      <c r="J1248">
        <v>-35</v>
      </c>
      <c r="K1248" t="s">
        <v>2669</v>
      </c>
    </row>
    <row r="1249" spans="1:11">
      <c r="A1249" t="s">
        <v>2765</v>
      </c>
      <c r="B1249" t="s">
        <v>2522</v>
      </c>
      <c r="C1249" t="s">
        <v>2572</v>
      </c>
      <c r="D1249" s="1">
        <v>46240</v>
      </c>
      <c r="E1249" s="1">
        <v>46255</v>
      </c>
      <c r="F1249">
        <v>75075.67</v>
      </c>
      <c r="G1249" t="s">
        <v>2557</v>
      </c>
      <c r="H1249">
        <v>61723.37</v>
      </c>
      <c r="I1249">
        <v>13352.3</v>
      </c>
      <c r="J1249">
        <v>10</v>
      </c>
      <c r="K1249" t="s">
        <v>2647</v>
      </c>
    </row>
    <row r="1250" spans="1:11">
      <c r="A1250" t="s">
        <v>2765</v>
      </c>
      <c r="B1250" t="s">
        <v>2450</v>
      </c>
      <c r="C1250" t="s">
        <v>2573</v>
      </c>
      <c r="D1250" s="1">
        <v>46240</v>
      </c>
      <c r="E1250" s="1">
        <v>46270</v>
      </c>
      <c r="F1250">
        <v>28947.58</v>
      </c>
      <c r="G1250" t="s">
        <v>2574</v>
      </c>
      <c r="H1250">
        <v>28947.58</v>
      </c>
      <c r="I1250">
        <v>0</v>
      </c>
      <c r="J1250">
        <v>-5</v>
      </c>
      <c r="K1250" t="s">
        <v>2558</v>
      </c>
    </row>
    <row r="1251" spans="1:11">
      <c r="A1251" t="s">
        <v>2765</v>
      </c>
      <c r="B1251" t="s">
        <v>2477</v>
      </c>
      <c r="C1251" t="s">
        <v>2595</v>
      </c>
      <c r="D1251" s="1">
        <v>46240</v>
      </c>
      <c r="E1251" s="1">
        <v>46270</v>
      </c>
      <c r="F1251">
        <v>71466.899999999994</v>
      </c>
      <c r="G1251" t="s">
        <v>2568</v>
      </c>
      <c r="H1251">
        <v>71466.899999999994</v>
      </c>
      <c r="I1251">
        <v>0</v>
      </c>
      <c r="J1251">
        <v>-5</v>
      </c>
      <c r="K1251" t="s">
        <v>2558</v>
      </c>
    </row>
    <row r="1252" spans="1:11">
      <c r="A1252" t="s">
        <v>2765</v>
      </c>
      <c r="B1252" t="s">
        <v>2091</v>
      </c>
      <c r="C1252" t="s">
        <v>2581</v>
      </c>
      <c r="D1252" s="1">
        <v>46240</v>
      </c>
      <c r="E1252" s="1">
        <v>46255</v>
      </c>
      <c r="F1252">
        <v>65146.27</v>
      </c>
      <c r="G1252" t="s">
        <v>2562</v>
      </c>
      <c r="H1252">
        <v>65146.27</v>
      </c>
      <c r="I1252">
        <v>0</v>
      </c>
      <c r="J1252">
        <v>10</v>
      </c>
      <c r="K1252" t="s">
        <v>2558</v>
      </c>
    </row>
    <row r="1253" spans="1:11">
      <c r="A1253" t="s">
        <v>2765</v>
      </c>
      <c r="B1253" t="s">
        <v>2785</v>
      </c>
      <c r="C1253" t="s">
        <v>2564</v>
      </c>
      <c r="D1253" s="1">
        <v>46240</v>
      </c>
      <c r="E1253" s="1">
        <v>46300</v>
      </c>
      <c r="F1253">
        <v>447130.29</v>
      </c>
      <c r="G1253" t="s">
        <v>2562</v>
      </c>
      <c r="I1253">
        <v>447130.29</v>
      </c>
      <c r="J1253">
        <v>-35</v>
      </c>
      <c r="K1253" t="s">
        <v>2669</v>
      </c>
    </row>
    <row r="1254" spans="1:11">
      <c r="A1254" t="s">
        <v>2765</v>
      </c>
      <c r="B1254" t="s">
        <v>2170</v>
      </c>
      <c r="C1254" t="s">
        <v>2610</v>
      </c>
      <c r="D1254" s="1">
        <v>46241</v>
      </c>
      <c r="E1254" s="1">
        <v>46301</v>
      </c>
      <c r="F1254">
        <v>36239.339999999997</v>
      </c>
      <c r="G1254" t="s">
        <v>2574</v>
      </c>
      <c r="H1254">
        <v>36239.339999999997</v>
      </c>
      <c r="I1254">
        <v>0</v>
      </c>
      <c r="J1254">
        <v>-36</v>
      </c>
      <c r="K1254" t="s">
        <v>2558</v>
      </c>
    </row>
    <row r="1255" spans="1:11">
      <c r="A1255" t="s">
        <v>2765</v>
      </c>
      <c r="B1255" t="s">
        <v>1618</v>
      </c>
      <c r="C1255" t="s">
        <v>2620</v>
      </c>
      <c r="D1255" s="1">
        <v>46241</v>
      </c>
      <c r="E1255" s="1">
        <v>46271</v>
      </c>
      <c r="F1255">
        <v>102511.63</v>
      </c>
      <c r="G1255" t="s">
        <v>2568</v>
      </c>
      <c r="H1255">
        <v>102511.63</v>
      </c>
      <c r="I1255">
        <v>0</v>
      </c>
      <c r="J1255">
        <v>-6</v>
      </c>
      <c r="K1255" t="s">
        <v>2558</v>
      </c>
    </row>
    <row r="1256" spans="1:11">
      <c r="A1256" t="s">
        <v>2765</v>
      </c>
      <c r="B1256" t="s">
        <v>2274</v>
      </c>
      <c r="C1256" t="s">
        <v>2571</v>
      </c>
      <c r="D1256" s="1">
        <v>46241</v>
      </c>
      <c r="E1256" s="1">
        <v>46286</v>
      </c>
      <c r="F1256">
        <v>351222.2</v>
      </c>
      <c r="G1256" t="s">
        <v>2568</v>
      </c>
      <c r="H1256">
        <v>351222.2</v>
      </c>
      <c r="I1256">
        <v>0</v>
      </c>
      <c r="J1256">
        <v>-21</v>
      </c>
      <c r="K1256" t="s">
        <v>2558</v>
      </c>
    </row>
    <row r="1257" spans="1:11">
      <c r="A1257" t="s">
        <v>2765</v>
      </c>
      <c r="B1257" t="s">
        <v>1922</v>
      </c>
      <c r="C1257" t="s">
        <v>2579</v>
      </c>
      <c r="D1257" s="1">
        <v>46241</v>
      </c>
      <c r="E1257" s="1">
        <v>46271</v>
      </c>
      <c r="F1257">
        <v>233980.15</v>
      </c>
      <c r="G1257" t="s">
        <v>2557</v>
      </c>
      <c r="H1257">
        <v>233980.15</v>
      </c>
      <c r="I1257">
        <v>0</v>
      </c>
      <c r="J1257">
        <v>-6</v>
      </c>
      <c r="K1257" t="s">
        <v>2558</v>
      </c>
    </row>
    <row r="1258" spans="1:11">
      <c r="A1258" t="s">
        <v>2765</v>
      </c>
      <c r="B1258" t="s">
        <v>2786</v>
      </c>
      <c r="C1258" t="s">
        <v>2608</v>
      </c>
      <c r="D1258" s="1">
        <v>46241</v>
      </c>
      <c r="E1258" s="1">
        <v>46286</v>
      </c>
      <c r="F1258">
        <v>572087.09</v>
      </c>
      <c r="G1258" t="s">
        <v>2560</v>
      </c>
      <c r="I1258">
        <v>572087.09</v>
      </c>
      <c r="J1258">
        <v>-21</v>
      </c>
      <c r="K1258" t="s">
        <v>2669</v>
      </c>
    </row>
    <row r="1259" spans="1:11">
      <c r="A1259" t="s">
        <v>2765</v>
      </c>
      <c r="B1259" t="s">
        <v>2787</v>
      </c>
      <c r="C1259" t="s">
        <v>2579</v>
      </c>
      <c r="D1259" s="1">
        <v>46241</v>
      </c>
      <c r="E1259" s="1">
        <v>46271</v>
      </c>
      <c r="F1259">
        <v>599453.46</v>
      </c>
      <c r="G1259" t="s">
        <v>2557</v>
      </c>
      <c r="I1259">
        <v>599453.46</v>
      </c>
      <c r="J1259">
        <v>-6</v>
      </c>
      <c r="K1259" t="s">
        <v>2669</v>
      </c>
    </row>
    <row r="1260" spans="1:11">
      <c r="A1260" t="s">
        <v>2765</v>
      </c>
      <c r="B1260" t="s">
        <v>2524</v>
      </c>
      <c r="C1260" t="s">
        <v>2601</v>
      </c>
      <c r="D1260" s="1">
        <v>46242</v>
      </c>
      <c r="E1260" s="1">
        <v>46272</v>
      </c>
      <c r="F1260">
        <v>129006.69</v>
      </c>
      <c r="G1260" t="s">
        <v>2574</v>
      </c>
      <c r="H1260">
        <v>129006.69</v>
      </c>
      <c r="I1260">
        <v>0</v>
      </c>
      <c r="J1260">
        <v>-7</v>
      </c>
      <c r="K1260" t="s">
        <v>2558</v>
      </c>
    </row>
    <row r="1261" spans="1:11">
      <c r="A1261" t="s">
        <v>2765</v>
      </c>
      <c r="B1261" t="s">
        <v>2788</v>
      </c>
      <c r="C1261" t="s">
        <v>2573</v>
      </c>
      <c r="D1261" s="1">
        <v>46242</v>
      </c>
      <c r="E1261" s="1">
        <v>46272</v>
      </c>
      <c r="F1261">
        <v>44952.31</v>
      </c>
      <c r="G1261" t="s">
        <v>2574</v>
      </c>
      <c r="I1261">
        <v>44952.31</v>
      </c>
      <c r="J1261">
        <v>-7</v>
      </c>
      <c r="K1261" t="s">
        <v>2669</v>
      </c>
    </row>
    <row r="1262" spans="1:11">
      <c r="A1262" t="s">
        <v>2765</v>
      </c>
      <c r="B1262" t="s">
        <v>2093</v>
      </c>
      <c r="C1262" t="s">
        <v>2595</v>
      </c>
      <c r="D1262" s="1">
        <v>46242</v>
      </c>
      <c r="E1262" s="1">
        <v>46272</v>
      </c>
      <c r="F1262">
        <v>151254.04999999999</v>
      </c>
      <c r="G1262" t="s">
        <v>2568</v>
      </c>
      <c r="H1262">
        <v>151254.04999999999</v>
      </c>
      <c r="I1262">
        <v>0</v>
      </c>
      <c r="J1262">
        <v>-7</v>
      </c>
      <c r="K1262" t="s">
        <v>2558</v>
      </c>
    </row>
    <row r="1263" spans="1:11">
      <c r="A1263" t="s">
        <v>2765</v>
      </c>
      <c r="B1263" t="s">
        <v>1924</v>
      </c>
      <c r="C1263" t="s">
        <v>2572</v>
      </c>
      <c r="D1263" s="1">
        <v>46242</v>
      </c>
      <c r="E1263" s="1">
        <v>46257</v>
      </c>
      <c r="F1263">
        <v>14376.29</v>
      </c>
      <c r="G1263" t="s">
        <v>2557</v>
      </c>
      <c r="H1263">
        <v>14376.29</v>
      </c>
      <c r="I1263">
        <v>0</v>
      </c>
      <c r="J1263">
        <v>8</v>
      </c>
      <c r="K1263" t="s">
        <v>2558</v>
      </c>
    </row>
    <row r="1264" spans="1:11">
      <c r="A1264" t="s">
        <v>2765</v>
      </c>
      <c r="B1264" t="s">
        <v>2386</v>
      </c>
      <c r="C1264" t="s">
        <v>2599</v>
      </c>
      <c r="D1264" s="1">
        <v>46242</v>
      </c>
      <c r="E1264" s="1">
        <v>46302</v>
      </c>
      <c r="F1264">
        <v>141595.65</v>
      </c>
      <c r="G1264" t="s">
        <v>2562</v>
      </c>
      <c r="H1264">
        <v>141595.65</v>
      </c>
      <c r="I1264">
        <v>0</v>
      </c>
      <c r="J1264">
        <v>-37</v>
      </c>
      <c r="K1264" t="s">
        <v>2558</v>
      </c>
    </row>
    <row r="1265" spans="1:11">
      <c r="A1265" t="s">
        <v>2765</v>
      </c>
      <c r="B1265" t="s">
        <v>2789</v>
      </c>
      <c r="C1265" t="s">
        <v>2585</v>
      </c>
      <c r="D1265" s="1">
        <v>46242</v>
      </c>
      <c r="E1265" s="1">
        <v>46272</v>
      </c>
      <c r="F1265">
        <v>384741.81</v>
      </c>
      <c r="G1265" t="s">
        <v>2562</v>
      </c>
      <c r="I1265">
        <v>384741.81</v>
      </c>
      <c r="J1265">
        <v>-7</v>
      </c>
      <c r="K1265" t="s">
        <v>2669</v>
      </c>
    </row>
    <row r="1266" spans="1:11">
      <c r="A1266" t="s">
        <v>2765</v>
      </c>
      <c r="B1266" t="s">
        <v>2095</v>
      </c>
      <c r="C1266" t="s">
        <v>2577</v>
      </c>
      <c r="D1266" s="1">
        <v>46242</v>
      </c>
      <c r="E1266" s="1">
        <v>46272</v>
      </c>
      <c r="F1266">
        <v>9550.4699999999993</v>
      </c>
      <c r="G1266" t="s">
        <v>2562</v>
      </c>
      <c r="H1266">
        <v>9550.4699999999993</v>
      </c>
      <c r="I1266">
        <v>0</v>
      </c>
      <c r="J1266">
        <v>-7</v>
      </c>
      <c r="K1266" t="s">
        <v>2558</v>
      </c>
    </row>
    <row r="1267" spans="1:11">
      <c r="A1267" t="s">
        <v>2765</v>
      </c>
      <c r="B1267" t="s">
        <v>2790</v>
      </c>
      <c r="C1267" t="s">
        <v>2611</v>
      </c>
      <c r="D1267" s="1">
        <v>46242</v>
      </c>
      <c r="E1267" s="1">
        <v>46287</v>
      </c>
      <c r="F1267">
        <v>227606.93</v>
      </c>
      <c r="G1267" t="s">
        <v>2566</v>
      </c>
      <c r="I1267">
        <v>227606.93</v>
      </c>
      <c r="J1267">
        <v>-22</v>
      </c>
      <c r="K1267" t="s">
        <v>2669</v>
      </c>
    </row>
    <row r="1268" spans="1:11">
      <c r="A1268" t="s">
        <v>2765</v>
      </c>
      <c r="B1268" t="s">
        <v>1926</v>
      </c>
      <c r="C1268" t="s">
        <v>2559</v>
      </c>
      <c r="D1268" s="1">
        <v>46242</v>
      </c>
      <c r="E1268" s="1">
        <v>46257</v>
      </c>
      <c r="F1268">
        <v>25744.720000000001</v>
      </c>
      <c r="G1268" t="s">
        <v>2560</v>
      </c>
      <c r="H1268">
        <v>25744.720000000001</v>
      </c>
      <c r="I1268">
        <v>0</v>
      </c>
      <c r="J1268">
        <v>8</v>
      </c>
      <c r="K1268" t="s">
        <v>2558</v>
      </c>
    </row>
    <row r="1269" spans="1:11">
      <c r="A1269" t="s">
        <v>2765</v>
      </c>
      <c r="B1269" t="s">
        <v>2791</v>
      </c>
      <c r="C1269" t="s">
        <v>2593</v>
      </c>
      <c r="D1269" s="1">
        <v>46242</v>
      </c>
      <c r="E1269" s="1">
        <v>46272</v>
      </c>
      <c r="F1269">
        <v>51839.56</v>
      </c>
      <c r="G1269" t="s">
        <v>2574</v>
      </c>
      <c r="I1269">
        <v>51839.56</v>
      </c>
      <c r="J1269">
        <v>-7</v>
      </c>
      <c r="K1269" t="s">
        <v>2669</v>
      </c>
    </row>
    <row r="1270" spans="1:11">
      <c r="A1270" t="s">
        <v>2765</v>
      </c>
      <c r="B1270" t="s">
        <v>2388</v>
      </c>
      <c r="C1270" t="s">
        <v>2569</v>
      </c>
      <c r="D1270" s="1">
        <v>46242</v>
      </c>
      <c r="E1270" s="1">
        <v>46257</v>
      </c>
      <c r="F1270">
        <v>54251.5</v>
      </c>
      <c r="G1270" t="s">
        <v>2557</v>
      </c>
      <c r="H1270">
        <v>54251.5</v>
      </c>
      <c r="I1270">
        <v>0</v>
      </c>
      <c r="J1270">
        <v>8</v>
      </c>
      <c r="K1270" t="s">
        <v>2558</v>
      </c>
    </row>
    <row r="1271" spans="1:11">
      <c r="A1271" t="s">
        <v>2765</v>
      </c>
      <c r="B1271" t="s">
        <v>2792</v>
      </c>
      <c r="C1271" t="s">
        <v>2597</v>
      </c>
      <c r="D1271" s="1">
        <v>46243</v>
      </c>
      <c r="E1271" s="1">
        <v>46288</v>
      </c>
      <c r="F1271">
        <v>80591.23</v>
      </c>
      <c r="G1271" t="s">
        <v>2574</v>
      </c>
      <c r="I1271">
        <v>80591.23</v>
      </c>
      <c r="J1271">
        <v>-23</v>
      </c>
      <c r="K1271" t="s">
        <v>2669</v>
      </c>
    </row>
    <row r="1272" spans="1:11">
      <c r="A1272" t="s">
        <v>2765</v>
      </c>
      <c r="B1272" t="s">
        <v>2793</v>
      </c>
      <c r="C1272" t="s">
        <v>2611</v>
      </c>
      <c r="D1272" s="1">
        <v>46243</v>
      </c>
      <c r="E1272" s="1">
        <v>46288</v>
      </c>
      <c r="F1272">
        <v>593239.01</v>
      </c>
      <c r="G1272" t="s">
        <v>2566</v>
      </c>
      <c r="I1272">
        <v>593239.01</v>
      </c>
      <c r="J1272">
        <v>-23</v>
      </c>
      <c r="K1272" t="s">
        <v>2669</v>
      </c>
    </row>
    <row r="1273" spans="1:11">
      <c r="A1273" t="s">
        <v>2765</v>
      </c>
      <c r="B1273" t="s">
        <v>2479</v>
      </c>
      <c r="C1273" t="s">
        <v>2592</v>
      </c>
      <c r="D1273" s="1">
        <v>46243</v>
      </c>
      <c r="E1273" s="1">
        <v>46273</v>
      </c>
      <c r="F1273">
        <v>29440.55</v>
      </c>
      <c r="G1273" t="s">
        <v>2562</v>
      </c>
      <c r="H1273">
        <v>29440.55</v>
      </c>
      <c r="I1273">
        <v>0</v>
      </c>
      <c r="J1273">
        <v>-8</v>
      </c>
      <c r="K1273" t="s">
        <v>2558</v>
      </c>
    </row>
    <row r="1274" spans="1:11">
      <c r="A1274" t="s">
        <v>2765</v>
      </c>
      <c r="B1274" t="s">
        <v>1872</v>
      </c>
      <c r="C1274" t="s">
        <v>2570</v>
      </c>
      <c r="D1274" s="1">
        <v>46243</v>
      </c>
      <c r="E1274" s="1">
        <v>46273</v>
      </c>
      <c r="F1274">
        <v>24879.200000000001</v>
      </c>
      <c r="G1274" t="s">
        <v>2557</v>
      </c>
      <c r="H1274">
        <v>24879.200000000001</v>
      </c>
      <c r="I1274">
        <v>0</v>
      </c>
      <c r="J1274">
        <v>-8</v>
      </c>
      <c r="K1274" t="s">
        <v>2558</v>
      </c>
    </row>
    <row r="1275" spans="1:11">
      <c r="A1275" t="s">
        <v>2765</v>
      </c>
      <c r="B1275" t="s">
        <v>2794</v>
      </c>
      <c r="C1275" t="s">
        <v>2588</v>
      </c>
      <c r="D1275" s="1">
        <v>46243</v>
      </c>
      <c r="E1275" s="1">
        <v>46273</v>
      </c>
      <c r="F1275">
        <v>88338.45</v>
      </c>
      <c r="G1275" t="s">
        <v>2562</v>
      </c>
      <c r="I1275">
        <v>88338.45</v>
      </c>
      <c r="J1275">
        <v>-8</v>
      </c>
      <c r="K1275" t="s">
        <v>2669</v>
      </c>
    </row>
    <row r="1276" spans="1:11">
      <c r="A1276" t="s">
        <v>2765</v>
      </c>
      <c r="B1276" t="s">
        <v>2055</v>
      </c>
      <c r="C1276" t="s">
        <v>2594</v>
      </c>
      <c r="D1276" s="1">
        <v>46243</v>
      </c>
      <c r="E1276" s="1">
        <v>46273</v>
      </c>
      <c r="F1276">
        <v>390208.66</v>
      </c>
      <c r="G1276" t="s">
        <v>2557</v>
      </c>
      <c r="H1276">
        <v>390208.66</v>
      </c>
      <c r="I1276">
        <v>0</v>
      </c>
      <c r="J1276">
        <v>-8</v>
      </c>
      <c r="K1276" t="s">
        <v>2558</v>
      </c>
    </row>
    <row r="1277" spans="1:11">
      <c r="A1277" t="s">
        <v>2765</v>
      </c>
      <c r="B1277" t="s">
        <v>2795</v>
      </c>
      <c r="C1277" t="s">
        <v>2583</v>
      </c>
      <c r="D1277" s="1">
        <v>46243</v>
      </c>
      <c r="E1277" s="1">
        <v>46303</v>
      </c>
      <c r="F1277">
        <v>28330.16</v>
      </c>
      <c r="G1277" t="s">
        <v>2562</v>
      </c>
      <c r="I1277">
        <v>28330.16</v>
      </c>
      <c r="J1277">
        <v>-38</v>
      </c>
      <c r="K1277" t="s">
        <v>2669</v>
      </c>
    </row>
    <row r="1278" spans="1:11">
      <c r="A1278" t="s">
        <v>2765</v>
      </c>
      <c r="B1278" t="s">
        <v>2796</v>
      </c>
      <c r="C1278" t="s">
        <v>2604</v>
      </c>
      <c r="D1278" s="1">
        <v>46243</v>
      </c>
      <c r="E1278" s="1">
        <v>46288</v>
      </c>
      <c r="F1278">
        <v>155819.62</v>
      </c>
      <c r="G1278" t="s">
        <v>2562</v>
      </c>
      <c r="I1278">
        <v>155819.62</v>
      </c>
      <c r="J1278">
        <v>-23</v>
      </c>
      <c r="K1278" t="s">
        <v>2669</v>
      </c>
    </row>
    <row r="1279" spans="1:11">
      <c r="A1279" t="s">
        <v>2765</v>
      </c>
      <c r="B1279" t="s">
        <v>2797</v>
      </c>
      <c r="C1279" t="s">
        <v>2576</v>
      </c>
      <c r="D1279" s="1">
        <v>46243</v>
      </c>
      <c r="E1279" s="1">
        <v>46288</v>
      </c>
      <c r="F1279">
        <v>1713287.65</v>
      </c>
      <c r="G1279" t="s">
        <v>2566</v>
      </c>
      <c r="I1279">
        <v>1713287.65</v>
      </c>
      <c r="J1279">
        <v>-23</v>
      </c>
      <c r="K1279" t="s">
        <v>2669</v>
      </c>
    </row>
    <row r="1280" spans="1:11">
      <c r="A1280" t="s">
        <v>2765</v>
      </c>
      <c r="B1280" t="s">
        <v>1654</v>
      </c>
      <c r="C1280" t="s">
        <v>2579</v>
      </c>
      <c r="D1280" s="1">
        <v>46244</v>
      </c>
      <c r="E1280" s="1">
        <v>46274</v>
      </c>
      <c r="F1280">
        <v>184488.84</v>
      </c>
      <c r="G1280" t="s">
        <v>2557</v>
      </c>
      <c r="H1280">
        <v>184488.84</v>
      </c>
      <c r="I1280">
        <v>0</v>
      </c>
      <c r="J1280">
        <v>-9</v>
      </c>
      <c r="K1280" t="s">
        <v>2558</v>
      </c>
    </row>
    <row r="1281" spans="1:11">
      <c r="A1281" t="s">
        <v>2765</v>
      </c>
      <c r="B1281" t="s">
        <v>2229</v>
      </c>
      <c r="C1281" t="s">
        <v>2556</v>
      </c>
      <c r="D1281" s="1">
        <v>46244</v>
      </c>
      <c r="E1281" s="1">
        <v>46274</v>
      </c>
      <c r="F1281">
        <v>140286.12</v>
      </c>
      <c r="G1281" t="s">
        <v>2557</v>
      </c>
      <c r="H1281">
        <v>93775.31</v>
      </c>
      <c r="I1281">
        <v>46510.81</v>
      </c>
      <c r="J1281">
        <v>-9</v>
      </c>
      <c r="K1281" t="s">
        <v>2669</v>
      </c>
    </row>
    <row r="1282" spans="1:11">
      <c r="A1282" t="s">
        <v>2765</v>
      </c>
      <c r="B1282" t="s">
        <v>1728</v>
      </c>
      <c r="C1282" t="s">
        <v>2612</v>
      </c>
      <c r="D1282" s="1">
        <v>46244</v>
      </c>
      <c r="E1282" s="1">
        <v>46274</v>
      </c>
      <c r="F1282">
        <v>10140.450000000001</v>
      </c>
      <c r="G1282" t="s">
        <v>2566</v>
      </c>
      <c r="H1282">
        <v>10140.450000000001</v>
      </c>
      <c r="I1282">
        <v>0</v>
      </c>
      <c r="J1282">
        <v>-9</v>
      </c>
      <c r="K1282" t="s">
        <v>2558</v>
      </c>
    </row>
    <row r="1283" spans="1:11">
      <c r="A1283" t="s">
        <v>2765</v>
      </c>
      <c r="B1283" t="s">
        <v>2276</v>
      </c>
      <c r="C1283" t="s">
        <v>2567</v>
      </c>
      <c r="D1283" s="1">
        <v>46244</v>
      </c>
      <c r="E1283" s="1">
        <v>46289</v>
      </c>
      <c r="F1283">
        <v>1782979</v>
      </c>
      <c r="G1283" t="s">
        <v>2568</v>
      </c>
      <c r="H1283">
        <v>1782979</v>
      </c>
      <c r="I1283">
        <v>0</v>
      </c>
      <c r="J1283">
        <v>-24</v>
      </c>
      <c r="K1283" t="s">
        <v>2558</v>
      </c>
    </row>
    <row r="1284" spans="1:11">
      <c r="A1284" t="s">
        <v>2765</v>
      </c>
      <c r="B1284" t="s">
        <v>1965</v>
      </c>
      <c r="C1284" t="s">
        <v>2595</v>
      </c>
      <c r="D1284" s="1">
        <v>46244</v>
      </c>
      <c r="E1284" s="1">
        <v>46274</v>
      </c>
      <c r="F1284">
        <v>129344.12</v>
      </c>
      <c r="G1284" t="s">
        <v>2568</v>
      </c>
      <c r="H1284">
        <v>129344.12</v>
      </c>
      <c r="I1284">
        <v>0</v>
      </c>
      <c r="J1284">
        <v>-9</v>
      </c>
      <c r="K1284" t="s">
        <v>2558</v>
      </c>
    </row>
    <row r="1285" spans="1:11">
      <c r="A1285" t="s">
        <v>2765</v>
      </c>
      <c r="B1285" t="s">
        <v>2057</v>
      </c>
      <c r="C1285" t="s">
        <v>2565</v>
      </c>
      <c r="D1285" s="1">
        <v>46244</v>
      </c>
      <c r="E1285" s="1">
        <v>46259</v>
      </c>
      <c r="F1285">
        <v>36585.19</v>
      </c>
      <c r="G1285" t="s">
        <v>2566</v>
      </c>
      <c r="H1285">
        <v>36585.19</v>
      </c>
      <c r="I1285">
        <v>0</v>
      </c>
      <c r="J1285">
        <v>6</v>
      </c>
      <c r="K1285" t="s">
        <v>2558</v>
      </c>
    </row>
    <row r="1286" spans="1:11">
      <c r="A1286" t="s">
        <v>2765</v>
      </c>
      <c r="B1286" t="s">
        <v>2526</v>
      </c>
      <c r="C1286" t="s">
        <v>2567</v>
      </c>
      <c r="D1286" s="1">
        <v>46244</v>
      </c>
      <c r="E1286" s="1">
        <v>46289</v>
      </c>
      <c r="F1286">
        <v>1375753.27</v>
      </c>
      <c r="G1286" t="s">
        <v>2568</v>
      </c>
      <c r="H1286">
        <v>1375753.27</v>
      </c>
      <c r="I1286">
        <v>0</v>
      </c>
      <c r="J1286">
        <v>-24</v>
      </c>
      <c r="K1286" t="s">
        <v>2558</v>
      </c>
    </row>
    <row r="1287" spans="1:11">
      <c r="A1287" t="s">
        <v>2765</v>
      </c>
      <c r="B1287" t="s">
        <v>2528</v>
      </c>
      <c r="C1287" t="s">
        <v>2576</v>
      </c>
      <c r="D1287" s="1">
        <v>46244</v>
      </c>
      <c r="E1287" s="1">
        <v>46289</v>
      </c>
      <c r="F1287">
        <v>712354.53</v>
      </c>
      <c r="G1287" t="s">
        <v>2566</v>
      </c>
      <c r="H1287">
        <v>712354.53</v>
      </c>
      <c r="I1287">
        <v>0</v>
      </c>
      <c r="J1287">
        <v>-24</v>
      </c>
      <c r="K1287" t="s">
        <v>2558</v>
      </c>
    </row>
    <row r="1288" spans="1:11">
      <c r="A1288" t="s">
        <v>2765</v>
      </c>
      <c r="B1288" t="s">
        <v>1874</v>
      </c>
      <c r="C1288" t="s">
        <v>2573</v>
      </c>
      <c r="D1288" s="1">
        <v>46244</v>
      </c>
      <c r="E1288" s="1">
        <v>46274</v>
      </c>
      <c r="F1288">
        <v>15233.56</v>
      </c>
      <c r="G1288" t="s">
        <v>2574</v>
      </c>
      <c r="H1288">
        <v>15233.56</v>
      </c>
      <c r="I1288">
        <v>0</v>
      </c>
      <c r="J1288">
        <v>-9</v>
      </c>
      <c r="K1288" t="s">
        <v>2558</v>
      </c>
    </row>
    <row r="1289" spans="1:11">
      <c r="A1289" t="s">
        <v>2765</v>
      </c>
      <c r="B1289" t="s">
        <v>2340</v>
      </c>
      <c r="C1289" t="s">
        <v>2582</v>
      </c>
      <c r="D1289" s="1">
        <v>46244</v>
      </c>
      <c r="E1289" s="1">
        <v>46274</v>
      </c>
      <c r="F1289">
        <v>75696.23</v>
      </c>
      <c r="G1289" t="s">
        <v>2557</v>
      </c>
      <c r="H1289">
        <v>75696.23</v>
      </c>
      <c r="I1289">
        <v>0</v>
      </c>
      <c r="J1289">
        <v>-9</v>
      </c>
      <c r="K1289" t="s">
        <v>2558</v>
      </c>
    </row>
    <row r="1290" spans="1:11">
      <c r="A1290" t="s">
        <v>2765</v>
      </c>
      <c r="B1290" t="s">
        <v>1876</v>
      </c>
      <c r="C1290" t="s">
        <v>2569</v>
      </c>
      <c r="D1290" s="1">
        <v>46244</v>
      </c>
      <c r="E1290" s="1">
        <v>46259</v>
      </c>
      <c r="F1290">
        <v>56010.14</v>
      </c>
      <c r="G1290" t="s">
        <v>2557</v>
      </c>
      <c r="H1290">
        <v>56010.14</v>
      </c>
      <c r="I1290">
        <v>0</v>
      </c>
      <c r="J1290">
        <v>6</v>
      </c>
      <c r="K1290" t="s">
        <v>2558</v>
      </c>
    </row>
    <row r="1291" spans="1:11">
      <c r="A1291" t="s">
        <v>2765</v>
      </c>
      <c r="B1291" t="s">
        <v>2019</v>
      </c>
      <c r="C1291" t="s">
        <v>2559</v>
      </c>
      <c r="D1291" s="1">
        <v>46245</v>
      </c>
      <c r="E1291" s="1">
        <v>46260</v>
      </c>
      <c r="F1291">
        <v>19344.98</v>
      </c>
      <c r="G1291" t="s">
        <v>2560</v>
      </c>
      <c r="H1291">
        <v>19344.98</v>
      </c>
      <c r="I1291">
        <v>0</v>
      </c>
      <c r="J1291">
        <v>5</v>
      </c>
      <c r="K1291" t="s">
        <v>2558</v>
      </c>
    </row>
    <row r="1292" spans="1:11">
      <c r="A1292" t="s">
        <v>2765</v>
      </c>
      <c r="B1292" t="s">
        <v>2138</v>
      </c>
      <c r="C1292" t="s">
        <v>2581</v>
      </c>
      <c r="D1292" s="1">
        <v>46245</v>
      </c>
      <c r="E1292" s="1">
        <v>46260</v>
      </c>
      <c r="F1292">
        <v>5000</v>
      </c>
      <c r="G1292" t="s">
        <v>2562</v>
      </c>
      <c r="H1292">
        <v>5000</v>
      </c>
      <c r="I1292">
        <v>0</v>
      </c>
      <c r="J1292">
        <v>5</v>
      </c>
      <c r="K1292" t="s">
        <v>2558</v>
      </c>
    </row>
    <row r="1293" spans="1:11">
      <c r="A1293" t="s">
        <v>2765</v>
      </c>
      <c r="B1293" t="s">
        <v>2481</v>
      </c>
      <c r="C1293" t="s">
        <v>2576</v>
      </c>
      <c r="D1293" s="1">
        <v>46245</v>
      </c>
      <c r="E1293" s="1">
        <v>46290</v>
      </c>
      <c r="F1293">
        <v>361258.04</v>
      </c>
      <c r="G1293" t="s">
        <v>2566</v>
      </c>
      <c r="H1293">
        <v>361258.04</v>
      </c>
      <c r="I1293">
        <v>0</v>
      </c>
      <c r="J1293">
        <v>-25</v>
      </c>
      <c r="K1293" t="s">
        <v>2558</v>
      </c>
    </row>
    <row r="1294" spans="1:11">
      <c r="A1294" t="s">
        <v>2765</v>
      </c>
      <c r="B1294" t="s">
        <v>2798</v>
      </c>
      <c r="C1294" t="s">
        <v>2611</v>
      </c>
      <c r="D1294" s="1">
        <v>46245</v>
      </c>
      <c r="E1294" s="1">
        <v>46290</v>
      </c>
      <c r="F1294">
        <v>93127.47</v>
      </c>
      <c r="G1294" t="s">
        <v>2566</v>
      </c>
      <c r="I1294">
        <v>93127.47</v>
      </c>
      <c r="J1294">
        <v>-25</v>
      </c>
      <c r="K1294" t="s">
        <v>2669</v>
      </c>
    </row>
    <row r="1295" spans="1:11">
      <c r="A1295" t="s">
        <v>2765</v>
      </c>
      <c r="B1295" t="s">
        <v>2530</v>
      </c>
      <c r="C1295" t="s">
        <v>2588</v>
      </c>
      <c r="D1295" s="1">
        <v>46245</v>
      </c>
      <c r="E1295" s="1">
        <v>46275</v>
      </c>
      <c r="F1295">
        <v>650089.53</v>
      </c>
      <c r="G1295" t="s">
        <v>2562</v>
      </c>
      <c r="H1295">
        <v>650089.53</v>
      </c>
      <c r="I1295">
        <v>0</v>
      </c>
      <c r="J1295">
        <v>-10</v>
      </c>
      <c r="K1295" t="s">
        <v>2558</v>
      </c>
    </row>
    <row r="1296" spans="1:11">
      <c r="A1296" t="s">
        <v>2765</v>
      </c>
      <c r="B1296" t="s">
        <v>2799</v>
      </c>
      <c r="C1296" t="s">
        <v>2569</v>
      </c>
      <c r="D1296" s="1">
        <v>46245</v>
      </c>
      <c r="E1296" s="1">
        <v>46260</v>
      </c>
      <c r="F1296">
        <v>41400.639999999999</v>
      </c>
      <c r="G1296" t="s">
        <v>2557</v>
      </c>
      <c r="I1296">
        <v>41400.639999999999</v>
      </c>
      <c r="J1296">
        <v>5</v>
      </c>
      <c r="K1296" t="s">
        <v>2647</v>
      </c>
    </row>
    <row r="1297" spans="1:11">
      <c r="A1297" t="s">
        <v>2765</v>
      </c>
      <c r="B1297" t="s">
        <v>2800</v>
      </c>
      <c r="C1297" t="s">
        <v>2589</v>
      </c>
      <c r="D1297" s="1">
        <v>46246</v>
      </c>
      <c r="E1297" s="1">
        <v>46276</v>
      </c>
      <c r="F1297">
        <v>14811.91</v>
      </c>
      <c r="G1297" t="s">
        <v>2568</v>
      </c>
      <c r="I1297">
        <v>14811.91</v>
      </c>
      <c r="J1297">
        <v>-11</v>
      </c>
      <c r="K1297" t="s">
        <v>2669</v>
      </c>
    </row>
    <row r="1298" spans="1:11">
      <c r="A1298" t="s">
        <v>2765</v>
      </c>
      <c r="B1298" t="s">
        <v>2801</v>
      </c>
      <c r="C1298" t="s">
        <v>2587</v>
      </c>
      <c r="D1298" s="1">
        <v>46246</v>
      </c>
      <c r="E1298" s="1">
        <v>46306</v>
      </c>
      <c r="F1298">
        <v>195678</v>
      </c>
      <c r="G1298" t="s">
        <v>2568</v>
      </c>
      <c r="I1298">
        <v>195678</v>
      </c>
      <c r="J1298">
        <v>-41</v>
      </c>
      <c r="K1298" t="s">
        <v>2669</v>
      </c>
    </row>
    <row r="1299" spans="1:11">
      <c r="A1299" t="s">
        <v>2765</v>
      </c>
      <c r="B1299" t="s">
        <v>2802</v>
      </c>
      <c r="C1299" t="s">
        <v>2576</v>
      </c>
      <c r="D1299" s="1">
        <v>46246</v>
      </c>
      <c r="E1299" s="1">
        <v>46291</v>
      </c>
      <c r="F1299">
        <v>63133</v>
      </c>
      <c r="G1299" t="s">
        <v>2566</v>
      </c>
      <c r="I1299">
        <v>63133</v>
      </c>
      <c r="J1299">
        <v>-26</v>
      </c>
      <c r="K1299" t="s">
        <v>2669</v>
      </c>
    </row>
    <row r="1300" spans="1:11">
      <c r="A1300" t="s">
        <v>2765</v>
      </c>
      <c r="B1300" t="s">
        <v>1967</v>
      </c>
      <c r="C1300" t="s">
        <v>2598</v>
      </c>
      <c r="D1300" s="1">
        <v>46246</v>
      </c>
      <c r="E1300" s="1">
        <v>46276</v>
      </c>
      <c r="F1300">
        <v>49262.03</v>
      </c>
      <c r="G1300" t="s">
        <v>2566</v>
      </c>
      <c r="H1300">
        <v>49262.03</v>
      </c>
      <c r="I1300">
        <v>0</v>
      </c>
      <c r="J1300">
        <v>-11</v>
      </c>
      <c r="K1300" t="s">
        <v>2558</v>
      </c>
    </row>
    <row r="1301" spans="1:11">
      <c r="A1301" t="s">
        <v>2765</v>
      </c>
      <c r="B1301" t="s">
        <v>2140</v>
      </c>
      <c r="C1301" t="s">
        <v>2595</v>
      </c>
      <c r="D1301" s="1">
        <v>46246</v>
      </c>
      <c r="E1301" s="1">
        <v>46276</v>
      </c>
      <c r="F1301">
        <v>367656.64</v>
      </c>
      <c r="G1301" t="s">
        <v>2568</v>
      </c>
      <c r="H1301">
        <v>163973.78</v>
      </c>
      <c r="I1301">
        <v>203682.86</v>
      </c>
      <c r="J1301">
        <v>-11</v>
      </c>
      <c r="K1301" t="s">
        <v>2669</v>
      </c>
    </row>
    <row r="1302" spans="1:11">
      <c r="A1302" t="s">
        <v>2765</v>
      </c>
      <c r="B1302" t="s">
        <v>2803</v>
      </c>
      <c r="C1302" t="s">
        <v>2599</v>
      </c>
      <c r="D1302" s="1">
        <v>46246</v>
      </c>
      <c r="E1302" s="1">
        <v>46306</v>
      </c>
      <c r="F1302">
        <v>1166588.8500000001</v>
      </c>
      <c r="G1302" t="s">
        <v>2562</v>
      </c>
      <c r="I1302">
        <v>1166588.8500000001</v>
      </c>
      <c r="J1302">
        <v>-41</v>
      </c>
      <c r="K1302" t="s">
        <v>2669</v>
      </c>
    </row>
    <row r="1303" spans="1:11">
      <c r="A1303" t="s">
        <v>2765</v>
      </c>
      <c r="B1303" t="s">
        <v>2804</v>
      </c>
      <c r="C1303" t="s">
        <v>2564</v>
      </c>
      <c r="D1303" s="1">
        <v>46246</v>
      </c>
      <c r="E1303" s="1">
        <v>46306</v>
      </c>
      <c r="F1303">
        <v>757670</v>
      </c>
      <c r="G1303" t="s">
        <v>2562</v>
      </c>
      <c r="I1303">
        <v>757670</v>
      </c>
      <c r="J1303">
        <v>-41</v>
      </c>
      <c r="K1303" t="s">
        <v>2669</v>
      </c>
    </row>
    <row r="1304" spans="1:11">
      <c r="A1304" t="s">
        <v>2765</v>
      </c>
      <c r="B1304" t="s">
        <v>2419</v>
      </c>
      <c r="C1304" t="s">
        <v>2573</v>
      </c>
      <c r="D1304" s="1">
        <v>46246</v>
      </c>
      <c r="E1304" s="1">
        <v>46276</v>
      </c>
      <c r="F1304">
        <v>32069.57</v>
      </c>
      <c r="G1304" t="s">
        <v>2574</v>
      </c>
      <c r="H1304">
        <v>32069.57</v>
      </c>
      <c r="I1304">
        <v>0</v>
      </c>
      <c r="J1304">
        <v>-11</v>
      </c>
      <c r="K1304" t="s">
        <v>2558</v>
      </c>
    </row>
    <row r="1305" spans="1:11">
      <c r="A1305" t="s">
        <v>2765</v>
      </c>
      <c r="B1305" t="s">
        <v>2805</v>
      </c>
      <c r="C1305" t="s">
        <v>2582</v>
      </c>
      <c r="D1305" s="1">
        <v>46246</v>
      </c>
      <c r="E1305" s="1">
        <v>46276</v>
      </c>
      <c r="F1305">
        <v>92877.46</v>
      </c>
      <c r="G1305" t="s">
        <v>2557</v>
      </c>
      <c r="I1305">
        <v>92877.46</v>
      </c>
      <c r="J1305">
        <v>-11</v>
      </c>
      <c r="K1305" t="s">
        <v>2669</v>
      </c>
    </row>
    <row r="1306" spans="1:11">
      <c r="A1306" t="s">
        <v>2765</v>
      </c>
      <c r="B1306" t="s">
        <v>2806</v>
      </c>
      <c r="C1306" t="s">
        <v>2597</v>
      </c>
      <c r="D1306" s="1">
        <v>46246</v>
      </c>
      <c r="E1306" s="1">
        <v>46291</v>
      </c>
      <c r="F1306">
        <v>56428.33</v>
      </c>
      <c r="G1306" t="s">
        <v>2574</v>
      </c>
      <c r="I1306">
        <v>56428.33</v>
      </c>
      <c r="J1306">
        <v>-26</v>
      </c>
      <c r="K1306" t="s">
        <v>2669</v>
      </c>
    </row>
    <row r="1307" spans="1:11">
      <c r="A1307" t="s">
        <v>2765</v>
      </c>
      <c r="B1307" t="s">
        <v>2278</v>
      </c>
      <c r="C1307" t="s">
        <v>2561</v>
      </c>
      <c r="D1307" s="1">
        <v>46247</v>
      </c>
      <c r="E1307" s="1">
        <v>46292</v>
      </c>
      <c r="F1307">
        <v>2000000</v>
      </c>
      <c r="G1307" t="s">
        <v>2562</v>
      </c>
      <c r="H1307">
        <v>2000000</v>
      </c>
      <c r="I1307">
        <v>0</v>
      </c>
      <c r="J1307">
        <v>-27</v>
      </c>
      <c r="K1307" t="s">
        <v>2558</v>
      </c>
    </row>
    <row r="1308" spans="1:11">
      <c r="A1308" t="s">
        <v>2765</v>
      </c>
      <c r="B1308" t="s">
        <v>2532</v>
      </c>
      <c r="C1308" t="s">
        <v>2612</v>
      </c>
      <c r="D1308" s="1">
        <v>46247</v>
      </c>
      <c r="E1308" s="1">
        <v>46277</v>
      </c>
      <c r="F1308">
        <v>29254.6</v>
      </c>
      <c r="G1308" t="s">
        <v>2566</v>
      </c>
      <c r="H1308">
        <v>29254.6</v>
      </c>
      <c r="I1308">
        <v>0</v>
      </c>
      <c r="J1308">
        <v>-12</v>
      </c>
      <c r="K1308" t="s">
        <v>2558</v>
      </c>
    </row>
    <row r="1309" spans="1:11">
      <c r="A1309" t="s">
        <v>2765</v>
      </c>
      <c r="B1309" t="s">
        <v>2280</v>
      </c>
      <c r="C1309" t="s">
        <v>2585</v>
      </c>
      <c r="D1309" s="1">
        <v>46247</v>
      </c>
      <c r="E1309" s="1">
        <v>46277</v>
      </c>
      <c r="F1309">
        <v>2000000</v>
      </c>
      <c r="G1309" t="s">
        <v>2562</v>
      </c>
      <c r="H1309">
        <v>2000000</v>
      </c>
      <c r="I1309">
        <v>0</v>
      </c>
      <c r="J1309">
        <v>-12</v>
      </c>
      <c r="K1309" t="s">
        <v>2558</v>
      </c>
    </row>
    <row r="1310" spans="1:11">
      <c r="A1310" t="s">
        <v>2765</v>
      </c>
      <c r="B1310" t="s">
        <v>2807</v>
      </c>
      <c r="C1310" t="s">
        <v>2599</v>
      </c>
      <c r="D1310" s="1">
        <v>46247</v>
      </c>
      <c r="E1310" s="1">
        <v>46307</v>
      </c>
      <c r="F1310">
        <v>526097.18000000005</v>
      </c>
      <c r="G1310" t="s">
        <v>2562</v>
      </c>
      <c r="I1310">
        <v>526097.18000000005</v>
      </c>
      <c r="J1310">
        <v>-42</v>
      </c>
      <c r="K1310" t="s">
        <v>2669</v>
      </c>
    </row>
    <row r="1311" spans="1:11">
      <c r="A1311" t="s">
        <v>2765</v>
      </c>
      <c r="B1311" t="s">
        <v>2421</v>
      </c>
      <c r="C1311" t="s">
        <v>2573</v>
      </c>
      <c r="D1311" s="1">
        <v>46247</v>
      </c>
      <c r="E1311" s="1">
        <v>46277</v>
      </c>
      <c r="F1311">
        <v>6696.54</v>
      </c>
      <c r="G1311" t="s">
        <v>2574</v>
      </c>
      <c r="H1311">
        <v>3555.47</v>
      </c>
      <c r="I1311">
        <v>3141.07</v>
      </c>
      <c r="J1311">
        <v>-12</v>
      </c>
      <c r="K1311" t="s">
        <v>2669</v>
      </c>
    </row>
    <row r="1312" spans="1:11">
      <c r="A1312" t="s">
        <v>2765</v>
      </c>
      <c r="B1312" t="s">
        <v>1807</v>
      </c>
      <c r="C1312" t="s">
        <v>2571</v>
      </c>
      <c r="D1312" s="1">
        <v>46247</v>
      </c>
      <c r="E1312" s="1">
        <v>46292</v>
      </c>
      <c r="F1312">
        <v>201848.31</v>
      </c>
      <c r="G1312" t="s">
        <v>2568</v>
      </c>
      <c r="H1312">
        <v>201848.31</v>
      </c>
      <c r="I1312">
        <v>0</v>
      </c>
      <c r="J1312">
        <v>-27</v>
      </c>
      <c r="K1312" t="s">
        <v>2558</v>
      </c>
    </row>
    <row r="1313" spans="1:11">
      <c r="A1313" t="s">
        <v>2765</v>
      </c>
      <c r="B1313" t="s">
        <v>2808</v>
      </c>
      <c r="C1313" t="s">
        <v>2564</v>
      </c>
      <c r="D1313" s="1">
        <v>46247</v>
      </c>
      <c r="E1313" s="1">
        <v>46307</v>
      </c>
      <c r="F1313">
        <v>201256.13</v>
      </c>
      <c r="G1313" t="s">
        <v>2562</v>
      </c>
      <c r="I1313">
        <v>201256.13</v>
      </c>
      <c r="J1313">
        <v>-42</v>
      </c>
      <c r="K1313" t="s">
        <v>2669</v>
      </c>
    </row>
    <row r="1314" spans="1:11">
      <c r="A1314" t="s">
        <v>2765</v>
      </c>
      <c r="B1314" t="s">
        <v>2809</v>
      </c>
      <c r="C1314" t="s">
        <v>2582</v>
      </c>
      <c r="D1314" s="1">
        <v>46247</v>
      </c>
      <c r="E1314" s="1">
        <v>46277</v>
      </c>
      <c r="F1314">
        <v>129773.21</v>
      </c>
      <c r="G1314" t="s">
        <v>2557</v>
      </c>
      <c r="I1314">
        <v>129773.21</v>
      </c>
      <c r="J1314">
        <v>-12</v>
      </c>
      <c r="K1314" t="s">
        <v>2669</v>
      </c>
    </row>
    <row r="1315" spans="1:11">
      <c r="A1315" t="s">
        <v>2765</v>
      </c>
      <c r="B1315" t="s">
        <v>2484</v>
      </c>
      <c r="C1315" t="s">
        <v>2602</v>
      </c>
      <c r="D1315" s="1">
        <v>46247</v>
      </c>
      <c r="E1315" s="1">
        <v>46307</v>
      </c>
      <c r="F1315">
        <v>132203.70000000001</v>
      </c>
      <c r="G1315" t="s">
        <v>2562</v>
      </c>
      <c r="H1315">
        <v>132203.70000000001</v>
      </c>
      <c r="I1315">
        <v>0</v>
      </c>
      <c r="J1315">
        <v>-42</v>
      </c>
      <c r="K1315" t="s">
        <v>2558</v>
      </c>
    </row>
    <row r="1316" spans="1:11">
      <c r="A1316" t="s">
        <v>2765</v>
      </c>
      <c r="B1316" t="s">
        <v>2810</v>
      </c>
      <c r="C1316" t="s">
        <v>2579</v>
      </c>
      <c r="D1316" s="1">
        <v>46248</v>
      </c>
      <c r="E1316" s="1">
        <v>46278</v>
      </c>
      <c r="F1316">
        <v>2000000</v>
      </c>
      <c r="G1316" t="s">
        <v>2557</v>
      </c>
      <c r="I1316">
        <v>2000000</v>
      </c>
      <c r="J1316">
        <v>-13</v>
      </c>
      <c r="K1316" t="s">
        <v>2669</v>
      </c>
    </row>
    <row r="1317" spans="1:11">
      <c r="A1317" t="s">
        <v>2765</v>
      </c>
      <c r="B1317" t="s">
        <v>2811</v>
      </c>
      <c r="C1317" t="s">
        <v>2573</v>
      </c>
      <c r="D1317" s="1">
        <v>46248</v>
      </c>
      <c r="E1317" s="1">
        <v>46278</v>
      </c>
      <c r="F1317">
        <v>12578.41</v>
      </c>
      <c r="G1317" t="s">
        <v>2574</v>
      </c>
      <c r="I1317">
        <v>12578.41</v>
      </c>
      <c r="J1317">
        <v>-13</v>
      </c>
      <c r="K1317" t="s">
        <v>2669</v>
      </c>
    </row>
    <row r="1318" spans="1:11">
      <c r="A1318" t="s">
        <v>2765</v>
      </c>
      <c r="B1318" t="s">
        <v>2812</v>
      </c>
      <c r="C1318" t="s">
        <v>2595</v>
      </c>
      <c r="D1318" s="1">
        <v>46248</v>
      </c>
      <c r="E1318" s="1">
        <v>46278</v>
      </c>
      <c r="F1318">
        <v>174018.89</v>
      </c>
      <c r="G1318" t="s">
        <v>2568</v>
      </c>
      <c r="I1318">
        <v>174018.89</v>
      </c>
      <c r="J1318">
        <v>-13</v>
      </c>
      <c r="K1318" t="s">
        <v>2669</v>
      </c>
    </row>
    <row r="1319" spans="1:11">
      <c r="A1319" t="s">
        <v>2765</v>
      </c>
      <c r="B1319" t="s">
        <v>2813</v>
      </c>
      <c r="C1319" t="s">
        <v>2603</v>
      </c>
      <c r="D1319" s="1">
        <v>46248</v>
      </c>
      <c r="E1319" s="1">
        <v>46278</v>
      </c>
      <c r="F1319">
        <v>62867.57</v>
      </c>
      <c r="G1319" t="s">
        <v>2557</v>
      </c>
      <c r="I1319">
        <v>62867.57</v>
      </c>
      <c r="J1319">
        <v>-13</v>
      </c>
      <c r="K1319" t="s">
        <v>2669</v>
      </c>
    </row>
    <row r="1320" spans="1:11">
      <c r="A1320" t="s">
        <v>2765</v>
      </c>
      <c r="B1320" t="s">
        <v>2814</v>
      </c>
      <c r="C1320" t="s">
        <v>2579</v>
      </c>
      <c r="D1320" s="1">
        <v>46248</v>
      </c>
      <c r="E1320" s="1">
        <v>46278</v>
      </c>
      <c r="F1320">
        <v>379432.93</v>
      </c>
      <c r="G1320" t="s">
        <v>2557</v>
      </c>
      <c r="I1320">
        <v>379432.93</v>
      </c>
      <c r="J1320">
        <v>-13</v>
      </c>
      <c r="K1320" t="s">
        <v>2669</v>
      </c>
    </row>
    <row r="1321" spans="1:11">
      <c r="A1321" t="s">
        <v>2765</v>
      </c>
      <c r="B1321" t="s">
        <v>2390</v>
      </c>
      <c r="C1321" t="s">
        <v>2612</v>
      </c>
      <c r="D1321" s="1">
        <v>46248</v>
      </c>
      <c r="E1321" s="1">
        <v>46278</v>
      </c>
      <c r="F1321">
        <v>38862.1</v>
      </c>
      <c r="G1321" t="s">
        <v>2566</v>
      </c>
      <c r="H1321">
        <v>38862.1</v>
      </c>
      <c r="I1321">
        <v>0</v>
      </c>
      <c r="J1321">
        <v>-13</v>
      </c>
      <c r="K1321" t="s">
        <v>2558</v>
      </c>
    </row>
    <row r="1322" spans="1:11">
      <c r="A1322" t="s">
        <v>2765</v>
      </c>
      <c r="B1322" t="s">
        <v>2231</v>
      </c>
      <c r="C1322" t="s">
        <v>2603</v>
      </c>
      <c r="D1322" s="1">
        <v>46248</v>
      </c>
      <c r="E1322" s="1">
        <v>46278</v>
      </c>
      <c r="F1322">
        <v>12971.82</v>
      </c>
      <c r="G1322" t="s">
        <v>2557</v>
      </c>
      <c r="H1322">
        <v>12971.82</v>
      </c>
      <c r="I1322">
        <v>0</v>
      </c>
      <c r="J1322">
        <v>-13</v>
      </c>
      <c r="K1322" t="s">
        <v>2558</v>
      </c>
    </row>
    <row r="1323" spans="1:11">
      <c r="A1323" t="s">
        <v>2765</v>
      </c>
      <c r="B1323" t="s">
        <v>2815</v>
      </c>
      <c r="C1323" t="s">
        <v>2585</v>
      </c>
      <c r="D1323" s="1">
        <v>46249</v>
      </c>
      <c r="E1323" s="1">
        <v>46279</v>
      </c>
      <c r="F1323">
        <v>420453.18</v>
      </c>
      <c r="G1323" t="s">
        <v>2562</v>
      </c>
      <c r="I1323">
        <v>420453.18</v>
      </c>
      <c r="J1323">
        <v>-14</v>
      </c>
      <c r="K1323" t="s">
        <v>2669</v>
      </c>
    </row>
    <row r="1324" spans="1:11">
      <c r="A1324" t="s">
        <v>2765</v>
      </c>
      <c r="B1324" t="s">
        <v>2816</v>
      </c>
      <c r="C1324" t="s">
        <v>2583</v>
      </c>
      <c r="D1324" s="1">
        <v>46249</v>
      </c>
      <c r="E1324" s="1">
        <v>46309</v>
      </c>
      <c r="F1324">
        <v>227573.09</v>
      </c>
      <c r="G1324" t="s">
        <v>2562</v>
      </c>
      <c r="I1324">
        <v>227573.09</v>
      </c>
      <c r="J1324">
        <v>-44</v>
      </c>
      <c r="K1324" t="s">
        <v>2669</v>
      </c>
    </row>
    <row r="1325" spans="1:11">
      <c r="A1325" t="s">
        <v>2765</v>
      </c>
      <c r="B1325" t="s">
        <v>2021</v>
      </c>
      <c r="C1325" t="s">
        <v>2608</v>
      </c>
      <c r="D1325" s="1">
        <v>46249</v>
      </c>
      <c r="E1325" s="1">
        <v>46294</v>
      </c>
      <c r="F1325">
        <v>191112.64</v>
      </c>
      <c r="G1325" t="s">
        <v>2560</v>
      </c>
      <c r="H1325">
        <v>191112.64</v>
      </c>
      <c r="I1325">
        <v>0</v>
      </c>
      <c r="J1325">
        <v>-29</v>
      </c>
      <c r="K1325" t="s">
        <v>2558</v>
      </c>
    </row>
    <row r="1326" spans="1:11">
      <c r="A1326" t="s">
        <v>2765</v>
      </c>
      <c r="B1326" t="s">
        <v>2817</v>
      </c>
      <c r="C1326" t="s">
        <v>2576</v>
      </c>
      <c r="D1326" s="1">
        <v>46249</v>
      </c>
      <c r="E1326" s="1">
        <v>46294</v>
      </c>
      <c r="F1326">
        <v>653186.12</v>
      </c>
      <c r="G1326" t="s">
        <v>2566</v>
      </c>
      <c r="I1326">
        <v>653186.12</v>
      </c>
      <c r="J1326">
        <v>-29</v>
      </c>
      <c r="K1326" t="s">
        <v>2669</v>
      </c>
    </row>
    <row r="1327" spans="1:11">
      <c r="A1327" t="s">
        <v>2765</v>
      </c>
      <c r="B1327" t="s">
        <v>2233</v>
      </c>
      <c r="C1327" t="s">
        <v>2579</v>
      </c>
      <c r="D1327" s="1">
        <v>46249</v>
      </c>
      <c r="E1327" s="1">
        <v>46279</v>
      </c>
      <c r="F1327">
        <v>1454109.2</v>
      </c>
      <c r="G1327" t="s">
        <v>2557</v>
      </c>
      <c r="H1327">
        <v>1454109.2</v>
      </c>
      <c r="I1327">
        <v>0</v>
      </c>
      <c r="J1327">
        <v>-14</v>
      </c>
      <c r="K1327" t="s">
        <v>2558</v>
      </c>
    </row>
    <row r="1328" spans="1:11">
      <c r="A1328" t="s">
        <v>2765</v>
      </c>
      <c r="B1328" t="s">
        <v>2818</v>
      </c>
      <c r="C1328" t="s">
        <v>2564</v>
      </c>
      <c r="D1328" s="1">
        <v>46249</v>
      </c>
      <c r="E1328" s="1">
        <v>46309</v>
      </c>
      <c r="F1328">
        <v>925458.66</v>
      </c>
      <c r="G1328" t="s">
        <v>2562</v>
      </c>
      <c r="I1328">
        <v>925458.66</v>
      </c>
      <c r="J1328">
        <v>-44</v>
      </c>
      <c r="K1328" t="s">
        <v>2669</v>
      </c>
    </row>
    <row r="1329" spans="1:11">
      <c r="A1329" t="s">
        <v>2765</v>
      </c>
      <c r="B1329" t="s">
        <v>2819</v>
      </c>
      <c r="C1329" t="s">
        <v>2611</v>
      </c>
      <c r="D1329" s="1">
        <v>46249</v>
      </c>
      <c r="E1329" s="1">
        <v>46294</v>
      </c>
      <c r="F1329">
        <v>406628.96</v>
      </c>
      <c r="G1329" t="s">
        <v>2566</v>
      </c>
      <c r="I1329">
        <v>406628.96</v>
      </c>
      <c r="J1329">
        <v>-29</v>
      </c>
      <c r="K1329" t="s">
        <v>2669</v>
      </c>
    </row>
    <row r="1330" spans="1:11">
      <c r="A1330" t="s">
        <v>2765</v>
      </c>
      <c r="B1330" t="s">
        <v>2820</v>
      </c>
      <c r="C1330" t="s">
        <v>2567</v>
      </c>
      <c r="D1330" s="1">
        <v>46249</v>
      </c>
      <c r="E1330" s="1">
        <v>46294</v>
      </c>
      <c r="F1330">
        <v>124835.99</v>
      </c>
      <c r="G1330" t="s">
        <v>2568</v>
      </c>
      <c r="I1330">
        <v>124835.99</v>
      </c>
      <c r="J1330">
        <v>-29</v>
      </c>
      <c r="K1330" t="s">
        <v>2669</v>
      </c>
    </row>
    <row r="1331" spans="1:11">
      <c r="A1331" t="s">
        <v>2765</v>
      </c>
      <c r="B1331" t="s">
        <v>2821</v>
      </c>
      <c r="C1331" t="s">
        <v>2595</v>
      </c>
      <c r="D1331" s="1">
        <v>46249</v>
      </c>
      <c r="E1331" s="1">
        <v>46279</v>
      </c>
      <c r="F1331">
        <v>79173.16</v>
      </c>
      <c r="G1331" t="s">
        <v>2568</v>
      </c>
      <c r="I1331">
        <v>79173.16</v>
      </c>
      <c r="J1331">
        <v>-14</v>
      </c>
      <c r="K1331" t="s">
        <v>2669</v>
      </c>
    </row>
    <row r="1332" spans="1:11">
      <c r="A1332" t="s">
        <v>2765</v>
      </c>
      <c r="B1332" t="s">
        <v>2822</v>
      </c>
      <c r="C1332" t="s">
        <v>2567</v>
      </c>
      <c r="D1332" s="1">
        <v>46249</v>
      </c>
      <c r="E1332" s="1">
        <v>46294</v>
      </c>
      <c r="F1332">
        <v>308438.25</v>
      </c>
      <c r="G1332" t="s">
        <v>2568</v>
      </c>
      <c r="I1332">
        <v>308438.25</v>
      </c>
      <c r="J1332">
        <v>-29</v>
      </c>
      <c r="K1332" t="s">
        <v>2669</v>
      </c>
    </row>
    <row r="1333" spans="1:11">
      <c r="A1333" t="s">
        <v>2765</v>
      </c>
      <c r="B1333" t="s">
        <v>2823</v>
      </c>
      <c r="C1333" t="s">
        <v>2595</v>
      </c>
      <c r="D1333" s="1">
        <v>46249</v>
      </c>
      <c r="E1333" s="1">
        <v>46279</v>
      </c>
      <c r="F1333">
        <v>177926.57</v>
      </c>
      <c r="G1333" t="s">
        <v>2568</v>
      </c>
      <c r="I1333">
        <v>177926.57</v>
      </c>
      <c r="J1333">
        <v>-14</v>
      </c>
      <c r="K1333" t="s">
        <v>2669</v>
      </c>
    </row>
    <row r="1334" spans="1:11">
      <c r="A1334" t="s">
        <v>2765</v>
      </c>
      <c r="B1334" t="s">
        <v>2534</v>
      </c>
      <c r="C1334" t="s">
        <v>2576</v>
      </c>
      <c r="D1334" s="1">
        <v>46250</v>
      </c>
      <c r="E1334" s="1">
        <v>46295</v>
      </c>
      <c r="F1334">
        <v>241231.04</v>
      </c>
      <c r="G1334" t="s">
        <v>2566</v>
      </c>
      <c r="H1334">
        <v>241231.04</v>
      </c>
      <c r="I1334">
        <v>0</v>
      </c>
      <c r="J1334">
        <v>-30</v>
      </c>
      <c r="K1334" t="s">
        <v>2558</v>
      </c>
    </row>
    <row r="1335" spans="1:11">
      <c r="A1335" t="s">
        <v>2765</v>
      </c>
      <c r="B1335" t="s">
        <v>2486</v>
      </c>
      <c r="C1335" t="s">
        <v>2582</v>
      </c>
      <c r="D1335" s="1">
        <v>46250</v>
      </c>
      <c r="E1335" s="1">
        <v>46280</v>
      </c>
      <c r="F1335">
        <v>57552.4</v>
      </c>
      <c r="G1335" t="s">
        <v>2557</v>
      </c>
      <c r="H1335">
        <v>57552.4</v>
      </c>
      <c r="I1335">
        <v>0</v>
      </c>
      <c r="J1335">
        <v>-15</v>
      </c>
      <c r="K1335" t="s">
        <v>2558</v>
      </c>
    </row>
    <row r="1336" spans="1:11">
      <c r="A1336" t="s">
        <v>2765</v>
      </c>
      <c r="B1336" t="s">
        <v>2824</v>
      </c>
      <c r="C1336" t="s">
        <v>2564</v>
      </c>
      <c r="D1336" s="1">
        <v>46250</v>
      </c>
      <c r="E1336" s="1">
        <v>46310</v>
      </c>
      <c r="F1336">
        <v>122901.41</v>
      </c>
      <c r="G1336" t="s">
        <v>2562</v>
      </c>
      <c r="I1336">
        <v>122901.41</v>
      </c>
      <c r="J1336">
        <v>-45</v>
      </c>
      <c r="K1336" t="s">
        <v>2669</v>
      </c>
    </row>
    <row r="1337" spans="1:11">
      <c r="A1337" t="s">
        <v>2765</v>
      </c>
      <c r="B1337" t="s">
        <v>1969</v>
      </c>
      <c r="C1337" t="s">
        <v>2592</v>
      </c>
      <c r="D1337" s="1">
        <v>46250</v>
      </c>
      <c r="E1337" s="1">
        <v>46280</v>
      </c>
      <c r="F1337">
        <v>7291.65</v>
      </c>
      <c r="G1337" t="s">
        <v>2562</v>
      </c>
      <c r="H1337">
        <v>7291.65</v>
      </c>
      <c r="I1337">
        <v>0</v>
      </c>
      <c r="J1337">
        <v>-15</v>
      </c>
      <c r="K1337" t="s">
        <v>2558</v>
      </c>
    </row>
    <row r="1338" spans="1:11">
      <c r="A1338" t="s">
        <v>2765</v>
      </c>
      <c r="B1338" t="s">
        <v>2825</v>
      </c>
      <c r="C1338" t="s">
        <v>2593</v>
      </c>
      <c r="D1338" s="1">
        <v>46250</v>
      </c>
      <c r="E1338" s="1">
        <v>46280</v>
      </c>
      <c r="F1338">
        <v>8663.91</v>
      </c>
      <c r="G1338" t="s">
        <v>2574</v>
      </c>
      <c r="I1338">
        <v>8663.91</v>
      </c>
      <c r="J1338">
        <v>-15</v>
      </c>
      <c r="K1338" t="s">
        <v>2669</v>
      </c>
    </row>
    <row r="1339" spans="1:11">
      <c r="A1339" t="s">
        <v>2765</v>
      </c>
      <c r="B1339" t="s">
        <v>2282</v>
      </c>
      <c r="C1339" t="s">
        <v>2581</v>
      </c>
      <c r="D1339" s="1">
        <v>46250</v>
      </c>
      <c r="E1339" s="1">
        <v>46265</v>
      </c>
      <c r="F1339">
        <v>13529.18</v>
      </c>
      <c r="G1339" t="s">
        <v>2562</v>
      </c>
      <c r="H1339">
        <v>13529.18</v>
      </c>
      <c r="I1339">
        <v>0</v>
      </c>
      <c r="J1339">
        <v>0</v>
      </c>
      <c r="K1339" t="s">
        <v>2558</v>
      </c>
    </row>
    <row r="1340" spans="1:11">
      <c r="A1340" t="s">
        <v>2765</v>
      </c>
      <c r="B1340" t="s">
        <v>2536</v>
      </c>
      <c r="C1340" t="s">
        <v>2583</v>
      </c>
      <c r="D1340" s="1">
        <v>46250</v>
      </c>
      <c r="E1340" s="1">
        <v>46310</v>
      </c>
      <c r="F1340">
        <v>96296.85</v>
      </c>
      <c r="G1340" t="s">
        <v>2562</v>
      </c>
      <c r="H1340">
        <v>60702.1</v>
      </c>
      <c r="I1340">
        <v>35594.75</v>
      </c>
      <c r="J1340">
        <v>-45</v>
      </c>
      <c r="K1340" t="s">
        <v>2669</v>
      </c>
    </row>
    <row r="1341" spans="1:11">
      <c r="A1341" t="s">
        <v>2765</v>
      </c>
      <c r="B1341" t="s">
        <v>2826</v>
      </c>
      <c r="C1341" t="s">
        <v>2613</v>
      </c>
      <c r="D1341" s="1">
        <v>46250</v>
      </c>
      <c r="E1341" s="1">
        <v>46310</v>
      </c>
      <c r="F1341">
        <v>39350.980000000003</v>
      </c>
      <c r="G1341" t="s">
        <v>2560</v>
      </c>
      <c r="I1341">
        <v>39350.980000000003</v>
      </c>
      <c r="J1341">
        <v>-45</v>
      </c>
      <c r="K1341" t="s">
        <v>2669</v>
      </c>
    </row>
    <row r="1342" spans="1:11">
      <c r="A1342" t="s">
        <v>2765</v>
      </c>
      <c r="B1342" t="s">
        <v>2488</v>
      </c>
      <c r="C1342" t="s">
        <v>2570</v>
      </c>
      <c r="D1342" s="1">
        <v>46250</v>
      </c>
      <c r="E1342" s="1">
        <v>46280</v>
      </c>
      <c r="F1342">
        <v>545081.78</v>
      </c>
      <c r="G1342" t="s">
        <v>2557</v>
      </c>
      <c r="H1342">
        <v>71698.33</v>
      </c>
      <c r="I1342">
        <v>473383.45</v>
      </c>
      <c r="J1342">
        <v>-15</v>
      </c>
      <c r="K1342" t="s">
        <v>2669</v>
      </c>
    </row>
    <row r="1343" spans="1:11">
      <c r="A1343" t="s">
        <v>2765</v>
      </c>
      <c r="B1343" t="s">
        <v>2827</v>
      </c>
      <c r="C1343" t="s">
        <v>2570</v>
      </c>
      <c r="D1343" s="1">
        <v>46250</v>
      </c>
      <c r="E1343" s="1">
        <v>46280</v>
      </c>
      <c r="F1343">
        <v>767687.82</v>
      </c>
      <c r="G1343" t="s">
        <v>2557</v>
      </c>
      <c r="I1343">
        <v>767687.82</v>
      </c>
      <c r="J1343">
        <v>-15</v>
      </c>
      <c r="K1343" t="s">
        <v>2669</v>
      </c>
    </row>
    <row r="1344" spans="1:11">
      <c r="A1344" t="s">
        <v>2765</v>
      </c>
      <c r="B1344" t="s">
        <v>2828</v>
      </c>
      <c r="C1344" t="s">
        <v>2573</v>
      </c>
      <c r="D1344" s="1">
        <v>46251</v>
      </c>
      <c r="E1344" s="1">
        <v>46281</v>
      </c>
      <c r="F1344">
        <v>20767.560000000001</v>
      </c>
      <c r="G1344" t="s">
        <v>2574</v>
      </c>
      <c r="I1344">
        <v>20767.560000000001</v>
      </c>
      <c r="J1344">
        <v>-16</v>
      </c>
      <c r="K1344" t="s">
        <v>2669</v>
      </c>
    </row>
    <row r="1345" spans="1:11">
      <c r="A1345" t="s">
        <v>2765</v>
      </c>
      <c r="B1345" t="s">
        <v>2829</v>
      </c>
      <c r="C1345" t="s">
        <v>2610</v>
      </c>
      <c r="D1345" s="1">
        <v>46251</v>
      </c>
      <c r="E1345" s="1">
        <v>46311</v>
      </c>
      <c r="F1345">
        <v>92431.38</v>
      </c>
      <c r="G1345" t="s">
        <v>2574</v>
      </c>
      <c r="I1345">
        <v>92431.38</v>
      </c>
      <c r="J1345">
        <v>-46</v>
      </c>
      <c r="K1345" t="s">
        <v>2669</v>
      </c>
    </row>
    <row r="1346" spans="1:11">
      <c r="A1346" t="s">
        <v>2765</v>
      </c>
      <c r="B1346" t="s">
        <v>2830</v>
      </c>
      <c r="C1346" t="s">
        <v>2561</v>
      </c>
      <c r="D1346" s="1">
        <v>46251</v>
      </c>
      <c r="E1346" s="1">
        <v>46296</v>
      </c>
      <c r="F1346">
        <v>633164.04</v>
      </c>
      <c r="G1346" t="s">
        <v>2562</v>
      </c>
      <c r="I1346">
        <v>633164.04</v>
      </c>
      <c r="J1346">
        <v>-31</v>
      </c>
      <c r="K1346" t="s">
        <v>2669</v>
      </c>
    </row>
    <row r="1347" spans="1:11">
      <c r="A1347" t="s">
        <v>2765</v>
      </c>
      <c r="B1347" t="s">
        <v>2831</v>
      </c>
      <c r="C1347" t="s">
        <v>2582</v>
      </c>
      <c r="D1347" s="1">
        <v>46251</v>
      </c>
      <c r="E1347" s="1">
        <v>46281</v>
      </c>
      <c r="F1347">
        <v>71047.39</v>
      </c>
      <c r="G1347" t="s">
        <v>2557</v>
      </c>
      <c r="I1347">
        <v>71047.39</v>
      </c>
      <c r="J1347">
        <v>-16</v>
      </c>
      <c r="K1347" t="s">
        <v>2669</v>
      </c>
    </row>
    <row r="1348" spans="1:11">
      <c r="A1348" t="s">
        <v>2765</v>
      </c>
      <c r="B1348" t="s">
        <v>2490</v>
      </c>
      <c r="C1348" t="s">
        <v>2570</v>
      </c>
      <c r="D1348" s="1">
        <v>46251</v>
      </c>
      <c r="E1348" s="1">
        <v>46281</v>
      </c>
      <c r="F1348">
        <v>180652.27</v>
      </c>
      <c r="G1348" t="s">
        <v>2557</v>
      </c>
      <c r="H1348">
        <v>180652.27</v>
      </c>
      <c r="I1348">
        <v>0</v>
      </c>
      <c r="J1348">
        <v>-16</v>
      </c>
      <c r="K1348" t="s">
        <v>2558</v>
      </c>
    </row>
    <row r="1349" spans="1:11">
      <c r="A1349" t="s">
        <v>2765</v>
      </c>
      <c r="B1349" t="s">
        <v>2284</v>
      </c>
      <c r="C1349" t="s">
        <v>2571</v>
      </c>
      <c r="D1349" s="1">
        <v>46251</v>
      </c>
      <c r="E1349" s="1">
        <v>46296</v>
      </c>
      <c r="F1349">
        <v>1184226.1599999999</v>
      </c>
      <c r="G1349" t="s">
        <v>2568</v>
      </c>
      <c r="H1349">
        <v>1184226.1599999999</v>
      </c>
      <c r="I1349">
        <v>0</v>
      </c>
      <c r="J1349">
        <v>-31</v>
      </c>
      <c r="K1349" t="s">
        <v>2558</v>
      </c>
    </row>
    <row r="1350" spans="1:11">
      <c r="A1350" t="s">
        <v>2765</v>
      </c>
      <c r="B1350" t="s">
        <v>2832</v>
      </c>
      <c r="C1350" t="s">
        <v>2582</v>
      </c>
      <c r="D1350" s="1">
        <v>46251</v>
      </c>
      <c r="E1350" s="1">
        <v>46281</v>
      </c>
      <c r="F1350">
        <v>324284.36</v>
      </c>
      <c r="G1350" t="s">
        <v>2557</v>
      </c>
      <c r="I1350">
        <v>324284.36</v>
      </c>
      <c r="J1350">
        <v>-16</v>
      </c>
      <c r="K1350" t="s">
        <v>2669</v>
      </c>
    </row>
    <row r="1351" spans="1:11">
      <c r="A1351" t="s">
        <v>2765</v>
      </c>
      <c r="B1351" t="s">
        <v>2452</v>
      </c>
      <c r="C1351" t="s">
        <v>2559</v>
      </c>
      <c r="D1351" s="1">
        <v>46251</v>
      </c>
      <c r="E1351" s="1">
        <v>46266</v>
      </c>
      <c r="F1351">
        <v>61980.55</v>
      </c>
      <c r="G1351" t="s">
        <v>2560</v>
      </c>
      <c r="H1351">
        <v>61980.55</v>
      </c>
      <c r="I1351">
        <v>0</v>
      </c>
      <c r="J1351">
        <v>-1</v>
      </c>
      <c r="K1351" t="s">
        <v>2558</v>
      </c>
    </row>
    <row r="1352" spans="1:11">
      <c r="A1352" t="s">
        <v>2765</v>
      </c>
      <c r="B1352" t="s">
        <v>2833</v>
      </c>
      <c r="C1352" t="s">
        <v>2611</v>
      </c>
      <c r="D1352" s="1">
        <v>46252</v>
      </c>
      <c r="E1352" s="1">
        <v>46297</v>
      </c>
      <c r="F1352">
        <v>915557.93</v>
      </c>
      <c r="G1352" t="s">
        <v>2566</v>
      </c>
      <c r="I1352">
        <v>915557.93</v>
      </c>
      <c r="J1352">
        <v>-32</v>
      </c>
      <c r="K1352" t="s">
        <v>2669</v>
      </c>
    </row>
    <row r="1353" spans="1:11">
      <c r="A1353" t="s">
        <v>2765</v>
      </c>
      <c r="B1353" t="s">
        <v>2834</v>
      </c>
      <c r="C1353" t="s">
        <v>2608</v>
      </c>
      <c r="D1353" s="1">
        <v>46252</v>
      </c>
      <c r="E1353" s="1">
        <v>46297</v>
      </c>
      <c r="F1353">
        <v>21396.51</v>
      </c>
      <c r="G1353" t="s">
        <v>2560</v>
      </c>
      <c r="I1353">
        <v>21396.51</v>
      </c>
      <c r="J1353">
        <v>-32</v>
      </c>
      <c r="K1353" t="s">
        <v>2669</v>
      </c>
    </row>
    <row r="1354" spans="1:11">
      <c r="A1354" t="s">
        <v>2765</v>
      </c>
      <c r="B1354" t="s">
        <v>2097</v>
      </c>
      <c r="C1354" t="s">
        <v>2619</v>
      </c>
      <c r="D1354" s="1">
        <v>46252</v>
      </c>
      <c r="E1354" s="1">
        <v>46282</v>
      </c>
      <c r="F1354">
        <v>126658.16</v>
      </c>
      <c r="G1354" t="s">
        <v>2560</v>
      </c>
      <c r="H1354">
        <v>21746.17</v>
      </c>
      <c r="I1354">
        <v>104911.99</v>
      </c>
      <c r="J1354">
        <v>-17</v>
      </c>
      <c r="K1354" t="s">
        <v>2669</v>
      </c>
    </row>
    <row r="1355" spans="1:11">
      <c r="A1355" t="s">
        <v>2765</v>
      </c>
      <c r="B1355" t="s">
        <v>2835</v>
      </c>
      <c r="C1355" t="s">
        <v>2572</v>
      </c>
      <c r="D1355" s="1">
        <v>46252</v>
      </c>
      <c r="E1355" s="1">
        <v>46267</v>
      </c>
      <c r="F1355">
        <v>50795.46</v>
      </c>
      <c r="G1355" t="s">
        <v>2557</v>
      </c>
      <c r="I1355">
        <v>50795.46</v>
      </c>
      <c r="J1355">
        <v>-2</v>
      </c>
      <c r="K1355" t="s">
        <v>2669</v>
      </c>
    </row>
    <row r="1356" spans="1:11">
      <c r="A1356" t="s">
        <v>2765</v>
      </c>
      <c r="B1356" t="s">
        <v>2538</v>
      </c>
      <c r="C1356" t="s">
        <v>2595</v>
      </c>
      <c r="D1356" s="1">
        <v>46252</v>
      </c>
      <c r="E1356" s="1">
        <v>46282</v>
      </c>
      <c r="F1356">
        <v>365726.12</v>
      </c>
      <c r="G1356" t="s">
        <v>2568</v>
      </c>
      <c r="H1356">
        <v>141714.6</v>
      </c>
      <c r="I1356">
        <v>224011.51999999999</v>
      </c>
      <c r="J1356">
        <v>-17</v>
      </c>
      <c r="K1356" t="s">
        <v>2669</v>
      </c>
    </row>
    <row r="1357" spans="1:11">
      <c r="A1357" t="s">
        <v>2765</v>
      </c>
      <c r="B1357" t="s">
        <v>2172</v>
      </c>
      <c r="C1357" t="s">
        <v>2564</v>
      </c>
      <c r="D1357" s="1">
        <v>46252</v>
      </c>
      <c r="E1357" s="1">
        <v>46312</v>
      </c>
      <c r="F1357">
        <v>548932.19999999995</v>
      </c>
      <c r="G1357" t="s">
        <v>2562</v>
      </c>
      <c r="H1357">
        <v>548932.19999999995</v>
      </c>
      <c r="I1357">
        <v>0</v>
      </c>
      <c r="J1357">
        <v>-47</v>
      </c>
      <c r="K1357" t="s">
        <v>2558</v>
      </c>
    </row>
    <row r="1358" spans="1:11">
      <c r="A1358" t="s">
        <v>2765</v>
      </c>
      <c r="B1358" t="s">
        <v>2392</v>
      </c>
      <c r="C1358" t="s">
        <v>2620</v>
      </c>
      <c r="D1358" s="1">
        <v>46252</v>
      </c>
      <c r="E1358" s="1">
        <v>46282</v>
      </c>
      <c r="F1358">
        <v>146660.59</v>
      </c>
      <c r="G1358" t="s">
        <v>2568</v>
      </c>
      <c r="H1358">
        <v>59211.05</v>
      </c>
      <c r="I1358">
        <v>87449.54</v>
      </c>
      <c r="J1358">
        <v>-17</v>
      </c>
      <c r="K1358" t="s">
        <v>2669</v>
      </c>
    </row>
    <row r="1359" spans="1:11">
      <c r="A1359" t="s">
        <v>2765</v>
      </c>
      <c r="B1359" t="s">
        <v>2099</v>
      </c>
      <c r="C1359" t="s">
        <v>2573</v>
      </c>
      <c r="D1359" s="1">
        <v>46252</v>
      </c>
      <c r="E1359" s="1">
        <v>46282</v>
      </c>
      <c r="F1359">
        <v>26945.18</v>
      </c>
      <c r="G1359" t="s">
        <v>2574</v>
      </c>
      <c r="H1359">
        <v>26945.18</v>
      </c>
      <c r="I1359">
        <v>0</v>
      </c>
      <c r="J1359">
        <v>-17</v>
      </c>
      <c r="K1359" t="s">
        <v>2558</v>
      </c>
    </row>
    <row r="1360" spans="1:11">
      <c r="A1360" t="s">
        <v>2765</v>
      </c>
      <c r="B1360" t="s">
        <v>2101</v>
      </c>
      <c r="C1360" t="s">
        <v>2576</v>
      </c>
      <c r="D1360" s="1">
        <v>46253</v>
      </c>
      <c r="E1360" s="1">
        <v>46298</v>
      </c>
      <c r="F1360">
        <v>538592.05000000005</v>
      </c>
      <c r="G1360" t="s">
        <v>2566</v>
      </c>
      <c r="H1360">
        <v>207701.82</v>
      </c>
      <c r="I1360">
        <v>330890.23</v>
      </c>
      <c r="J1360">
        <v>-33</v>
      </c>
      <c r="K1360" t="s">
        <v>2669</v>
      </c>
    </row>
    <row r="1361" spans="1:11">
      <c r="A1361" t="s">
        <v>2765</v>
      </c>
      <c r="B1361" t="s">
        <v>2059</v>
      </c>
      <c r="C1361" t="s">
        <v>2564</v>
      </c>
      <c r="D1361" s="1">
        <v>46253</v>
      </c>
      <c r="E1361" s="1">
        <v>46313</v>
      </c>
      <c r="F1361">
        <v>282593.86</v>
      </c>
      <c r="G1361" t="s">
        <v>2562</v>
      </c>
      <c r="H1361">
        <v>282593.86</v>
      </c>
      <c r="I1361">
        <v>0</v>
      </c>
      <c r="J1361">
        <v>-48</v>
      </c>
      <c r="K1361" t="s">
        <v>2558</v>
      </c>
    </row>
    <row r="1362" spans="1:11">
      <c r="A1362" t="s">
        <v>2765</v>
      </c>
      <c r="B1362" t="s">
        <v>2836</v>
      </c>
      <c r="C1362" t="s">
        <v>2583</v>
      </c>
      <c r="D1362" s="1">
        <v>46253</v>
      </c>
      <c r="E1362" s="1">
        <v>46313</v>
      </c>
      <c r="F1362">
        <v>319297.96000000002</v>
      </c>
      <c r="G1362" t="s">
        <v>2562</v>
      </c>
      <c r="I1362">
        <v>319297.96000000002</v>
      </c>
      <c r="J1362">
        <v>-48</v>
      </c>
      <c r="K1362" t="s">
        <v>2669</v>
      </c>
    </row>
    <row r="1363" spans="1:11">
      <c r="A1363" t="s">
        <v>2765</v>
      </c>
      <c r="B1363" t="s">
        <v>2492</v>
      </c>
      <c r="C1363" t="s">
        <v>2559</v>
      </c>
      <c r="D1363" s="1">
        <v>46253</v>
      </c>
      <c r="E1363" s="1">
        <v>46268</v>
      </c>
      <c r="F1363">
        <v>7754.04</v>
      </c>
      <c r="G1363" t="s">
        <v>2560</v>
      </c>
      <c r="H1363">
        <v>7754.04</v>
      </c>
      <c r="I1363">
        <v>0</v>
      </c>
      <c r="J1363">
        <v>-3</v>
      </c>
      <c r="K1363" t="s">
        <v>2558</v>
      </c>
    </row>
    <row r="1364" spans="1:11">
      <c r="A1364" t="s">
        <v>2765</v>
      </c>
      <c r="B1364" t="s">
        <v>2837</v>
      </c>
      <c r="C1364" t="s">
        <v>2595</v>
      </c>
      <c r="D1364" s="1">
        <v>46253</v>
      </c>
      <c r="E1364" s="1">
        <v>46283</v>
      </c>
      <c r="F1364">
        <v>83692.160000000003</v>
      </c>
      <c r="G1364" t="s">
        <v>2568</v>
      </c>
      <c r="I1364">
        <v>83692.160000000003</v>
      </c>
      <c r="J1364">
        <v>-18</v>
      </c>
      <c r="K1364" t="s">
        <v>2669</v>
      </c>
    </row>
    <row r="1365" spans="1:11">
      <c r="A1365" t="s">
        <v>2765</v>
      </c>
      <c r="B1365" t="s">
        <v>2838</v>
      </c>
      <c r="C1365" t="s">
        <v>2583</v>
      </c>
      <c r="D1365" s="1">
        <v>46253</v>
      </c>
      <c r="E1365" s="1">
        <v>46313</v>
      </c>
      <c r="F1365">
        <v>976743.92</v>
      </c>
      <c r="G1365" t="s">
        <v>2562</v>
      </c>
      <c r="I1365">
        <v>976743.92</v>
      </c>
      <c r="J1365">
        <v>-48</v>
      </c>
      <c r="K1365" t="s">
        <v>2669</v>
      </c>
    </row>
    <row r="1366" spans="1:11">
      <c r="A1366" t="s">
        <v>2765</v>
      </c>
      <c r="B1366" t="s">
        <v>2103</v>
      </c>
      <c r="C1366" t="s">
        <v>2579</v>
      </c>
      <c r="D1366" s="1">
        <v>46253</v>
      </c>
      <c r="E1366" s="1">
        <v>46283</v>
      </c>
      <c r="F1366">
        <v>209640.64</v>
      </c>
      <c r="G1366" t="s">
        <v>2557</v>
      </c>
      <c r="H1366">
        <v>209640.64</v>
      </c>
      <c r="I1366">
        <v>0</v>
      </c>
      <c r="J1366">
        <v>-18</v>
      </c>
      <c r="K1366" t="s">
        <v>2558</v>
      </c>
    </row>
    <row r="1367" spans="1:11">
      <c r="A1367" t="s">
        <v>2765</v>
      </c>
      <c r="B1367" t="s">
        <v>2839</v>
      </c>
      <c r="C1367" t="s">
        <v>2570</v>
      </c>
      <c r="D1367" s="1">
        <v>46254</v>
      </c>
      <c r="E1367" s="1">
        <v>46284</v>
      </c>
      <c r="F1367">
        <v>302905.75</v>
      </c>
      <c r="G1367" t="s">
        <v>2557</v>
      </c>
      <c r="I1367">
        <v>302905.75</v>
      </c>
      <c r="J1367">
        <v>-19</v>
      </c>
      <c r="K1367" t="s">
        <v>2669</v>
      </c>
    </row>
    <row r="1368" spans="1:11">
      <c r="A1368" t="s">
        <v>2765</v>
      </c>
      <c r="B1368" t="s">
        <v>2840</v>
      </c>
      <c r="C1368" t="s">
        <v>2613</v>
      </c>
      <c r="D1368" s="1">
        <v>46254</v>
      </c>
      <c r="E1368" s="1">
        <v>46314</v>
      </c>
      <c r="F1368">
        <v>60533.11</v>
      </c>
      <c r="G1368" t="s">
        <v>2560</v>
      </c>
      <c r="I1368">
        <v>60533.11</v>
      </c>
      <c r="J1368">
        <v>-49</v>
      </c>
      <c r="K1368" t="s">
        <v>2669</v>
      </c>
    </row>
    <row r="1369" spans="1:11">
      <c r="A1369" t="s">
        <v>2765</v>
      </c>
      <c r="B1369" t="s">
        <v>2841</v>
      </c>
      <c r="C1369" t="s">
        <v>2579</v>
      </c>
      <c r="D1369" s="1">
        <v>46254</v>
      </c>
      <c r="E1369" s="1">
        <v>46284</v>
      </c>
      <c r="F1369">
        <v>522813.42</v>
      </c>
      <c r="G1369" t="s">
        <v>2557</v>
      </c>
      <c r="I1369">
        <v>522813.42</v>
      </c>
      <c r="J1369">
        <v>-19</v>
      </c>
      <c r="K1369" t="s">
        <v>2669</v>
      </c>
    </row>
    <row r="1370" spans="1:11">
      <c r="A1370" t="s">
        <v>2765</v>
      </c>
      <c r="B1370" t="s">
        <v>2174</v>
      </c>
      <c r="C1370" t="s">
        <v>2598</v>
      </c>
      <c r="D1370" s="1">
        <v>46254</v>
      </c>
      <c r="E1370" s="1">
        <v>46284</v>
      </c>
      <c r="F1370">
        <v>69560.08</v>
      </c>
      <c r="G1370" t="s">
        <v>2566</v>
      </c>
      <c r="H1370">
        <v>69560.08</v>
      </c>
      <c r="I1370">
        <v>0</v>
      </c>
      <c r="J1370">
        <v>-19</v>
      </c>
      <c r="K1370" t="s">
        <v>2558</v>
      </c>
    </row>
    <row r="1371" spans="1:11">
      <c r="A1371" t="s">
        <v>2765</v>
      </c>
      <c r="B1371" t="s">
        <v>2842</v>
      </c>
      <c r="C1371" t="s">
        <v>2579</v>
      </c>
      <c r="D1371" s="1">
        <v>46254</v>
      </c>
      <c r="E1371" s="1">
        <v>46284</v>
      </c>
      <c r="F1371">
        <v>318569.56</v>
      </c>
      <c r="G1371" t="s">
        <v>2557</v>
      </c>
      <c r="I1371">
        <v>318569.56</v>
      </c>
      <c r="J1371">
        <v>-19</v>
      </c>
      <c r="K1371" t="s">
        <v>2669</v>
      </c>
    </row>
    <row r="1372" spans="1:11">
      <c r="A1372" t="s">
        <v>2765</v>
      </c>
      <c r="B1372" t="s">
        <v>2494</v>
      </c>
      <c r="C1372" t="s">
        <v>2578</v>
      </c>
      <c r="D1372" s="1">
        <v>46254</v>
      </c>
      <c r="E1372" s="1">
        <v>46269</v>
      </c>
      <c r="F1372">
        <v>78395.87</v>
      </c>
      <c r="G1372" t="s">
        <v>2562</v>
      </c>
      <c r="H1372">
        <v>78395.87</v>
      </c>
      <c r="I1372">
        <v>0</v>
      </c>
      <c r="J1372">
        <v>-4</v>
      </c>
      <c r="K1372" t="s">
        <v>2558</v>
      </c>
    </row>
    <row r="1373" spans="1:11">
      <c r="A1373" t="s">
        <v>2765</v>
      </c>
      <c r="B1373" t="s">
        <v>2843</v>
      </c>
      <c r="C1373" t="s">
        <v>2569</v>
      </c>
      <c r="D1373" s="1">
        <v>46255</v>
      </c>
      <c r="E1373" s="1">
        <v>46270</v>
      </c>
      <c r="F1373">
        <v>18020.73</v>
      </c>
      <c r="G1373" t="s">
        <v>2557</v>
      </c>
      <c r="I1373">
        <v>18020.73</v>
      </c>
      <c r="J1373">
        <v>-5</v>
      </c>
      <c r="K1373" t="s">
        <v>2669</v>
      </c>
    </row>
    <row r="1374" spans="1:11">
      <c r="A1374" t="s">
        <v>2765</v>
      </c>
      <c r="B1374" t="s">
        <v>2844</v>
      </c>
      <c r="C1374" t="s">
        <v>2556</v>
      </c>
      <c r="D1374" s="1">
        <v>46255</v>
      </c>
      <c r="E1374" s="1">
        <v>46285</v>
      </c>
      <c r="F1374">
        <v>296137.24</v>
      </c>
      <c r="G1374" t="s">
        <v>2557</v>
      </c>
      <c r="I1374">
        <v>296137.24</v>
      </c>
      <c r="J1374">
        <v>-20</v>
      </c>
      <c r="K1374" t="s">
        <v>2669</v>
      </c>
    </row>
    <row r="1375" spans="1:11">
      <c r="A1375" t="s">
        <v>2765</v>
      </c>
      <c r="B1375" t="s">
        <v>2845</v>
      </c>
      <c r="C1375" t="s">
        <v>2585</v>
      </c>
      <c r="D1375" s="1">
        <v>46255</v>
      </c>
      <c r="E1375" s="1">
        <v>46285</v>
      </c>
      <c r="F1375">
        <v>829886.63</v>
      </c>
      <c r="G1375" t="s">
        <v>2562</v>
      </c>
      <c r="I1375">
        <v>829886.63</v>
      </c>
      <c r="J1375">
        <v>-20</v>
      </c>
      <c r="K1375" t="s">
        <v>2669</v>
      </c>
    </row>
    <row r="1376" spans="1:11">
      <c r="A1376" t="s">
        <v>2765</v>
      </c>
      <c r="B1376" t="s">
        <v>2287</v>
      </c>
      <c r="C1376" t="s">
        <v>2616</v>
      </c>
      <c r="D1376" s="1">
        <v>46255</v>
      </c>
      <c r="E1376" s="1">
        <v>46270</v>
      </c>
      <c r="F1376">
        <v>95350.19</v>
      </c>
      <c r="G1376" t="s">
        <v>2560</v>
      </c>
      <c r="H1376">
        <v>95350.19</v>
      </c>
      <c r="I1376">
        <v>0</v>
      </c>
      <c r="J1376">
        <v>-5</v>
      </c>
      <c r="K1376" t="s">
        <v>2558</v>
      </c>
    </row>
    <row r="1377" spans="1:11">
      <c r="A1377" t="s">
        <v>2765</v>
      </c>
      <c r="B1377" t="s">
        <v>2846</v>
      </c>
      <c r="C1377" t="s">
        <v>2570</v>
      </c>
      <c r="D1377" s="1">
        <v>46255</v>
      </c>
      <c r="E1377" s="1">
        <v>46285</v>
      </c>
      <c r="F1377">
        <v>434278.14</v>
      </c>
      <c r="G1377" t="s">
        <v>2557</v>
      </c>
      <c r="I1377">
        <v>434278.14</v>
      </c>
      <c r="J1377">
        <v>-20</v>
      </c>
      <c r="K1377" t="s">
        <v>2669</v>
      </c>
    </row>
    <row r="1378" spans="1:11">
      <c r="A1378" t="s">
        <v>2765</v>
      </c>
      <c r="B1378" t="s">
        <v>2847</v>
      </c>
      <c r="C1378" t="s">
        <v>2588</v>
      </c>
      <c r="D1378" s="1">
        <v>46255</v>
      </c>
      <c r="E1378" s="1">
        <v>46285</v>
      </c>
      <c r="F1378">
        <v>2000000</v>
      </c>
      <c r="G1378" t="s">
        <v>2562</v>
      </c>
      <c r="I1378">
        <v>2000000</v>
      </c>
      <c r="J1378">
        <v>-20</v>
      </c>
      <c r="K1378" t="s">
        <v>2669</v>
      </c>
    </row>
    <row r="1379" spans="1:11">
      <c r="A1379" t="s">
        <v>2765</v>
      </c>
      <c r="B1379" t="s">
        <v>2848</v>
      </c>
      <c r="C1379" t="s">
        <v>2604</v>
      </c>
      <c r="D1379" s="1">
        <v>46255</v>
      </c>
      <c r="E1379" s="1">
        <v>46300</v>
      </c>
      <c r="F1379">
        <v>381247.75</v>
      </c>
      <c r="G1379" t="s">
        <v>2562</v>
      </c>
      <c r="I1379">
        <v>381247.75</v>
      </c>
      <c r="J1379">
        <v>-35</v>
      </c>
      <c r="K1379" t="s">
        <v>2669</v>
      </c>
    </row>
    <row r="1380" spans="1:11">
      <c r="A1380" t="s">
        <v>2765</v>
      </c>
      <c r="B1380" t="s">
        <v>2849</v>
      </c>
      <c r="C1380" t="s">
        <v>2556</v>
      </c>
      <c r="D1380" s="1">
        <v>46255</v>
      </c>
      <c r="E1380" s="1">
        <v>46285</v>
      </c>
      <c r="F1380">
        <v>190618.9</v>
      </c>
      <c r="G1380" t="s">
        <v>2557</v>
      </c>
      <c r="I1380">
        <v>190618.9</v>
      </c>
      <c r="J1380">
        <v>-20</v>
      </c>
      <c r="K1380" t="s">
        <v>2669</v>
      </c>
    </row>
    <row r="1381" spans="1:11">
      <c r="A1381" t="s">
        <v>2765</v>
      </c>
      <c r="B1381" t="s">
        <v>2850</v>
      </c>
      <c r="C1381" t="s">
        <v>2556</v>
      </c>
      <c r="D1381" s="1">
        <v>46255</v>
      </c>
      <c r="E1381" s="1">
        <v>46285</v>
      </c>
      <c r="F1381">
        <v>60917.120000000003</v>
      </c>
      <c r="G1381" t="s">
        <v>2557</v>
      </c>
      <c r="I1381">
        <v>60917.120000000003</v>
      </c>
      <c r="J1381">
        <v>-20</v>
      </c>
      <c r="K1381" t="s">
        <v>2669</v>
      </c>
    </row>
    <row r="1382" spans="1:11">
      <c r="A1382" t="s">
        <v>2765</v>
      </c>
      <c r="B1382" t="s">
        <v>2851</v>
      </c>
      <c r="C1382" t="s">
        <v>2573</v>
      </c>
      <c r="D1382" s="1">
        <v>46255</v>
      </c>
      <c r="E1382" s="1">
        <v>46285</v>
      </c>
      <c r="F1382">
        <v>31917.1</v>
      </c>
      <c r="G1382" t="s">
        <v>2574</v>
      </c>
      <c r="I1382">
        <v>31917.1</v>
      </c>
      <c r="J1382">
        <v>-20</v>
      </c>
      <c r="K1382" t="s">
        <v>2669</v>
      </c>
    </row>
    <row r="1383" spans="1:11">
      <c r="A1383" t="s">
        <v>2765</v>
      </c>
      <c r="B1383" t="s">
        <v>2852</v>
      </c>
      <c r="C1383" t="s">
        <v>2608</v>
      </c>
      <c r="D1383" s="1">
        <v>46255</v>
      </c>
      <c r="E1383" s="1">
        <v>46300</v>
      </c>
      <c r="F1383">
        <v>542752.30000000005</v>
      </c>
      <c r="G1383" t="s">
        <v>2560</v>
      </c>
      <c r="I1383">
        <v>542752.30000000005</v>
      </c>
      <c r="J1383">
        <v>-35</v>
      </c>
      <c r="K1383" t="s">
        <v>2669</v>
      </c>
    </row>
    <row r="1384" spans="1:11">
      <c r="A1384" t="s">
        <v>2765</v>
      </c>
      <c r="B1384" t="s">
        <v>2853</v>
      </c>
      <c r="C1384" t="s">
        <v>2570</v>
      </c>
      <c r="D1384" s="1">
        <v>46255</v>
      </c>
      <c r="E1384" s="1">
        <v>46285</v>
      </c>
      <c r="F1384">
        <v>1927982</v>
      </c>
      <c r="G1384" t="s">
        <v>2557</v>
      </c>
      <c r="I1384">
        <v>1927982</v>
      </c>
      <c r="J1384">
        <v>-20</v>
      </c>
      <c r="K1384" t="s">
        <v>2669</v>
      </c>
    </row>
    <row r="1385" spans="1:11">
      <c r="A1385" t="s">
        <v>2765</v>
      </c>
      <c r="B1385" t="s">
        <v>2423</v>
      </c>
      <c r="C1385" t="s">
        <v>2578</v>
      </c>
      <c r="D1385" s="1">
        <v>46255</v>
      </c>
      <c r="E1385" s="1">
        <v>46270</v>
      </c>
      <c r="F1385">
        <v>142559.67999999999</v>
      </c>
      <c r="G1385" t="s">
        <v>2562</v>
      </c>
      <c r="H1385">
        <v>142559.67999999999</v>
      </c>
      <c r="I1385">
        <v>0</v>
      </c>
      <c r="J1385">
        <v>-5</v>
      </c>
      <c r="K1385" t="s">
        <v>2558</v>
      </c>
    </row>
    <row r="1386" spans="1:11">
      <c r="A1386" t="s">
        <v>2765</v>
      </c>
      <c r="B1386" t="s">
        <v>2496</v>
      </c>
      <c r="C1386" t="s">
        <v>2585</v>
      </c>
      <c r="D1386" s="1">
        <v>46255</v>
      </c>
      <c r="E1386" s="1">
        <v>46285</v>
      </c>
      <c r="F1386">
        <v>801194.66</v>
      </c>
      <c r="G1386" t="s">
        <v>2562</v>
      </c>
      <c r="H1386">
        <v>669562.4</v>
      </c>
      <c r="I1386">
        <v>131632.26</v>
      </c>
      <c r="J1386">
        <v>-20</v>
      </c>
      <c r="K1386" t="s">
        <v>2669</v>
      </c>
    </row>
    <row r="1387" spans="1:11">
      <c r="A1387" t="s">
        <v>2765</v>
      </c>
      <c r="B1387" t="s">
        <v>2854</v>
      </c>
      <c r="C1387" t="s">
        <v>2567</v>
      </c>
      <c r="D1387" s="1">
        <v>46255</v>
      </c>
      <c r="E1387" s="1">
        <v>46300</v>
      </c>
      <c r="F1387">
        <v>115271.94</v>
      </c>
      <c r="G1387" t="s">
        <v>2568</v>
      </c>
      <c r="I1387">
        <v>115271.94</v>
      </c>
      <c r="J1387">
        <v>-35</v>
      </c>
      <c r="K1387" t="s">
        <v>2669</v>
      </c>
    </row>
    <row r="1388" spans="1:11">
      <c r="A1388" t="s">
        <v>2765</v>
      </c>
      <c r="B1388" t="s">
        <v>2454</v>
      </c>
      <c r="C1388" t="s">
        <v>2579</v>
      </c>
      <c r="D1388" s="1">
        <v>46255</v>
      </c>
      <c r="E1388" s="1">
        <v>46285</v>
      </c>
      <c r="F1388">
        <v>603638.18000000005</v>
      </c>
      <c r="G1388" t="s">
        <v>2557</v>
      </c>
      <c r="H1388">
        <v>603638.18000000005</v>
      </c>
      <c r="I1388">
        <v>0</v>
      </c>
      <c r="J1388">
        <v>-20</v>
      </c>
      <c r="K1388" t="s">
        <v>2558</v>
      </c>
    </row>
    <row r="1389" spans="1:11">
      <c r="A1389" t="s">
        <v>2765</v>
      </c>
      <c r="B1389" t="s">
        <v>2235</v>
      </c>
      <c r="C1389" t="s">
        <v>2585</v>
      </c>
      <c r="D1389" s="1">
        <v>46255</v>
      </c>
      <c r="E1389" s="1">
        <v>46285</v>
      </c>
      <c r="F1389">
        <v>116843.92</v>
      </c>
      <c r="G1389" t="s">
        <v>2562</v>
      </c>
      <c r="H1389">
        <v>15683.88</v>
      </c>
      <c r="I1389">
        <v>101160.04</v>
      </c>
      <c r="J1389">
        <v>-20</v>
      </c>
      <c r="K1389" t="s">
        <v>2669</v>
      </c>
    </row>
    <row r="1390" spans="1:11">
      <c r="A1390" t="s">
        <v>2765</v>
      </c>
      <c r="B1390" t="s">
        <v>2855</v>
      </c>
      <c r="C1390" t="s">
        <v>2576</v>
      </c>
      <c r="D1390" s="1">
        <v>46255</v>
      </c>
      <c r="E1390" s="1">
        <v>46300</v>
      </c>
      <c r="F1390">
        <v>92487.51</v>
      </c>
      <c r="G1390" t="s">
        <v>2566</v>
      </c>
      <c r="I1390">
        <v>92487.51</v>
      </c>
      <c r="J1390">
        <v>-35</v>
      </c>
      <c r="K1390" t="s">
        <v>2669</v>
      </c>
    </row>
    <row r="1391" spans="1:11">
      <c r="A1391" t="s">
        <v>2765</v>
      </c>
      <c r="B1391" t="s">
        <v>2856</v>
      </c>
      <c r="C1391" t="s">
        <v>2576</v>
      </c>
      <c r="D1391" s="1">
        <v>46255</v>
      </c>
      <c r="E1391" s="1">
        <v>46300</v>
      </c>
      <c r="F1391">
        <v>476931.08</v>
      </c>
      <c r="G1391" t="s">
        <v>2566</v>
      </c>
      <c r="I1391">
        <v>476931.08</v>
      </c>
      <c r="J1391">
        <v>-35</v>
      </c>
      <c r="K1391" t="s">
        <v>2669</v>
      </c>
    </row>
    <row r="1392" spans="1:11">
      <c r="A1392" t="s">
        <v>2765</v>
      </c>
      <c r="B1392" t="s">
        <v>2857</v>
      </c>
      <c r="C1392" t="s">
        <v>2564</v>
      </c>
      <c r="D1392" s="1">
        <v>46255</v>
      </c>
      <c r="E1392" s="1">
        <v>46315</v>
      </c>
      <c r="F1392">
        <v>624662.02</v>
      </c>
      <c r="G1392" t="s">
        <v>2562</v>
      </c>
      <c r="I1392">
        <v>624662.02</v>
      </c>
      <c r="J1392">
        <v>-50</v>
      </c>
      <c r="K1392" t="s">
        <v>2669</v>
      </c>
    </row>
    <row r="1393" spans="1:11">
      <c r="A1393" t="s">
        <v>2765</v>
      </c>
      <c r="B1393" t="s">
        <v>2858</v>
      </c>
      <c r="C1393" t="s">
        <v>2583</v>
      </c>
      <c r="D1393" s="1">
        <v>46255</v>
      </c>
      <c r="E1393" s="1">
        <v>46315</v>
      </c>
      <c r="F1393">
        <v>330250.23999999999</v>
      </c>
      <c r="G1393" t="s">
        <v>2562</v>
      </c>
      <c r="I1393">
        <v>330250.23999999999</v>
      </c>
      <c r="J1393">
        <v>-50</v>
      </c>
      <c r="K1393" t="s">
        <v>2669</v>
      </c>
    </row>
    <row r="1394" spans="1:11">
      <c r="A1394" t="s">
        <v>2765</v>
      </c>
      <c r="B1394" t="s">
        <v>2859</v>
      </c>
      <c r="C1394" t="s">
        <v>2598</v>
      </c>
      <c r="D1394" s="1">
        <v>46256</v>
      </c>
      <c r="E1394" s="1">
        <v>46286</v>
      </c>
      <c r="F1394">
        <v>224510.36</v>
      </c>
      <c r="G1394" t="s">
        <v>2566</v>
      </c>
      <c r="I1394">
        <v>224510.36</v>
      </c>
      <c r="J1394">
        <v>-21</v>
      </c>
      <c r="K1394" t="s">
        <v>2669</v>
      </c>
    </row>
    <row r="1395" spans="1:11">
      <c r="A1395" t="s">
        <v>2765</v>
      </c>
      <c r="B1395" t="s">
        <v>2860</v>
      </c>
      <c r="C1395" t="s">
        <v>2564</v>
      </c>
      <c r="D1395" s="1">
        <v>46256</v>
      </c>
      <c r="E1395" s="1">
        <v>46316</v>
      </c>
      <c r="F1395">
        <v>629658.71</v>
      </c>
      <c r="G1395" t="s">
        <v>2562</v>
      </c>
      <c r="I1395">
        <v>629658.71</v>
      </c>
      <c r="J1395">
        <v>-51</v>
      </c>
      <c r="K1395" t="s">
        <v>2669</v>
      </c>
    </row>
    <row r="1396" spans="1:11">
      <c r="A1396" t="s">
        <v>2765</v>
      </c>
      <c r="B1396" t="s">
        <v>2541</v>
      </c>
      <c r="C1396" t="s">
        <v>2587</v>
      </c>
      <c r="D1396" s="1">
        <v>46256</v>
      </c>
      <c r="E1396" s="1">
        <v>46316</v>
      </c>
      <c r="F1396">
        <v>149119.99</v>
      </c>
      <c r="G1396" t="s">
        <v>2568</v>
      </c>
      <c r="H1396">
        <v>149119.99</v>
      </c>
      <c r="I1396">
        <v>0</v>
      </c>
      <c r="J1396">
        <v>-51</v>
      </c>
      <c r="K1396" t="s">
        <v>2558</v>
      </c>
    </row>
    <row r="1397" spans="1:11">
      <c r="A1397" t="s">
        <v>2765</v>
      </c>
      <c r="B1397" t="s">
        <v>2861</v>
      </c>
      <c r="C1397" t="s">
        <v>2603</v>
      </c>
      <c r="D1397" s="1">
        <v>46256</v>
      </c>
      <c r="E1397" s="1">
        <v>46286</v>
      </c>
      <c r="F1397">
        <v>31677.93</v>
      </c>
      <c r="G1397" t="s">
        <v>2557</v>
      </c>
      <c r="I1397">
        <v>31677.93</v>
      </c>
      <c r="J1397">
        <v>-21</v>
      </c>
      <c r="K1397" t="s">
        <v>2669</v>
      </c>
    </row>
    <row r="1398" spans="1:11">
      <c r="A1398" t="s">
        <v>2765</v>
      </c>
      <c r="B1398" t="s">
        <v>2862</v>
      </c>
      <c r="C1398" t="s">
        <v>2579</v>
      </c>
      <c r="D1398" s="1">
        <v>46256</v>
      </c>
      <c r="E1398" s="1">
        <v>46286</v>
      </c>
      <c r="F1398">
        <v>90777.4</v>
      </c>
      <c r="G1398" t="s">
        <v>2557</v>
      </c>
      <c r="I1398">
        <v>90777.4</v>
      </c>
      <c r="J1398">
        <v>-21</v>
      </c>
      <c r="K1398" t="s">
        <v>2669</v>
      </c>
    </row>
    <row r="1399" spans="1:11">
      <c r="A1399" t="s">
        <v>2765</v>
      </c>
      <c r="B1399" t="s">
        <v>2863</v>
      </c>
      <c r="C1399" t="s">
        <v>2606</v>
      </c>
      <c r="D1399" s="1">
        <v>46256</v>
      </c>
      <c r="E1399" s="1">
        <v>46271</v>
      </c>
      <c r="F1399">
        <v>5218.17</v>
      </c>
      <c r="G1399" t="s">
        <v>2562</v>
      </c>
      <c r="I1399">
        <v>5218.17</v>
      </c>
      <c r="J1399">
        <v>-6</v>
      </c>
      <c r="K1399" t="s">
        <v>2669</v>
      </c>
    </row>
    <row r="1400" spans="1:11">
      <c r="A1400" t="s">
        <v>2765</v>
      </c>
      <c r="B1400" t="s">
        <v>2864</v>
      </c>
      <c r="C1400" t="s">
        <v>2595</v>
      </c>
      <c r="D1400" s="1">
        <v>46256</v>
      </c>
      <c r="E1400" s="1">
        <v>46286</v>
      </c>
      <c r="F1400">
        <v>282945.13</v>
      </c>
      <c r="G1400" t="s">
        <v>2568</v>
      </c>
      <c r="I1400">
        <v>282945.13</v>
      </c>
      <c r="J1400">
        <v>-21</v>
      </c>
      <c r="K1400" t="s">
        <v>2669</v>
      </c>
    </row>
    <row r="1401" spans="1:11">
      <c r="A1401" t="s">
        <v>2765</v>
      </c>
      <c r="B1401" t="s">
        <v>2865</v>
      </c>
      <c r="C1401" t="s">
        <v>2593</v>
      </c>
      <c r="D1401" s="1">
        <v>46256</v>
      </c>
      <c r="E1401" s="1">
        <v>46286</v>
      </c>
      <c r="F1401">
        <v>17113.71</v>
      </c>
      <c r="G1401" t="s">
        <v>2574</v>
      </c>
      <c r="I1401">
        <v>17113.71</v>
      </c>
      <c r="J1401">
        <v>-21</v>
      </c>
      <c r="K1401" t="s">
        <v>2669</v>
      </c>
    </row>
    <row r="1402" spans="1:11">
      <c r="A1402" t="s">
        <v>2765</v>
      </c>
      <c r="B1402" t="s">
        <v>2866</v>
      </c>
      <c r="C1402" t="s">
        <v>2600</v>
      </c>
      <c r="D1402" s="1">
        <v>46256</v>
      </c>
      <c r="E1402" s="1">
        <v>46286</v>
      </c>
      <c r="F1402">
        <v>80175.789999999994</v>
      </c>
      <c r="G1402" t="s">
        <v>2568</v>
      </c>
      <c r="I1402">
        <v>80175.789999999994</v>
      </c>
      <c r="J1402">
        <v>-21</v>
      </c>
      <c r="K1402" t="s">
        <v>2669</v>
      </c>
    </row>
    <row r="1403" spans="1:11">
      <c r="A1403" t="s">
        <v>2765</v>
      </c>
      <c r="B1403" t="s">
        <v>2867</v>
      </c>
      <c r="C1403" t="s">
        <v>2588</v>
      </c>
      <c r="D1403" s="1">
        <v>46256</v>
      </c>
      <c r="E1403" s="1">
        <v>46286</v>
      </c>
      <c r="F1403">
        <v>401245.16</v>
      </c>
      <c r="G1403" t="s">
        <v>2562</v>
      </c>
      <c r="I1403">
        <v>401245.16</v>
      </c>
      <c r="J1403">
        <v>-21</v>
      </c>
      <c r="K1403" t="s">
        <v>2669</v>
      </c>
    </row>
    <row r="1404" spans="1:11">
      <c r="A1404" t="s">
        <v>2765</v>
      </c>
      <c r="B1404" t="s">
        <v>2868</v>
      </c>
      <c r="C1404" t="s">
        <v>2597</v>
      </c>
      <c r="D1404" s="1">
        <v>46256</v>
      </c>
      <c r="E1404" s="1">
        <v>46301</v>
      </c>
      <c r="F1404">
        <v>77733.86</v>
      </c>
      <c r="G1404" t="s">
        <v>2574</v>
      </c>
      <c r="I1404">
        <v>77733.86</v>
      </c>
      <c r="J1404">
        <v>-36</v>
      </c>
      <c r="K1404" t="s">
        <v>2669</v>
      </c>
    </row>
    <row r="1405" spans="1:11">
      <c r="A1405" t="s">
        <v>2765</v>
      </c>
      <c r="B1405" t="s">
        <v>2869</v>
      </c>
      <c r="C1405" t="s">
        <v>2579</v>
      </c>
      <c r="D1405" s="1">
        <v>46256</v>
      </c>
      <c r="E1405" s="1">
        <v>46286</v>
      </c>
      <c r="F1405">
        <v>665785</v>
      </c>
      <c r="G1405" t="s">
        <v>2557</v>
      </c>
      <c r="I1405">
        <v>665785</v>
      </c>
      <c r="J1405">
        <v>-21</v>
      </c>
      <c r="K1405" t="s">
        <v>2669</v>
      </c>
    </row>
    <row r="1406" spans="1:11">
      <c r="A1406" t="s">
        <v>2765</v>
      </c>
      <c r="B1406" t="s">
        <v>2870</v>
      </c>
      <c r="C1406" t="s">
        <v>2570</v>
      </c>
      <c r="D1406" s="1">
        <v>46257</v>
      </c>
      <c r="E1406" s="1">
        <v>46287</v>
      </c>
      <c r="F1406">
        <v>202770.01</v>
      </c>
      <c r="G1406" t="s">
        <v>2557</v>
      </c>
      <c r="I1406">
        <v>202770.01</v>
      </c>
      <c r="J1406">
        <v>-22</v>
      </c>
      <c r="K1406" t="s">
        <v>2669</v>
      </c>
    </row>
    <row r="1407" spans="1:11">
      <c r="A1407" t="s">
        <v>2765</v>
      </c>
      <c r="B1407" t="s">
        <v>2871</v>
      </c>
      <c r="C1407" t="s">
        <v>2612</v>
      </c>
      <c r="D1407" s="1">
        <v>46257</v>
      </c>
      <c r="E1407" s="1">
        <v>46287</v>
      </c>
      <c r="F1407">
        <v>6060.32</v>
      </c>
      <c r="G1407" t="s">
        <v>2566</v>
      </c>
      <c r="I1407">
        <v>6060.32</v>
      </c>
      <c r="J1407">
        <v>-22</v>
      </c>
      <c r="K1407" t="s">
        <v>2669</v>
      </c>
    </row>
    <row r="1408" spans="1:11">
      <c r="A1408" t="s">
        <v>2765</v>
      </c>
      <c r="B1408" t="s">
        <v>2872</v>
      </c>
      <c r="C1408" t="s">
        <v>2610</v>
      </c>
      <c r="D1408" s="1">
        <v>46257</v>
      </c>
      <c r="E1408" s="1">
        <v>46317</v>
      </c>
      <c r="F1408">
        <v>157399.37</v>
      </c>
      <c r="G1408" t="s">
        <v>2574</v>
      </c>
      <c r="I1408">
        <v>157399.37</v>
      </c>
      <c r="J1408">
        <v>-52</v>
      </c>
      <c r="K1408" t="s">
        <v>2669</v>
      </c>
    </row>
    <row r="1409" spans="1:11">
      <c r="A1409" t="s">
        <v>2765</v>
      </c>
      <c r="B1409" t="s">
        <v>2873</v>
      </c>
      <c r="C1409" t="s">
        <v>2874</v>
      </c>
      <c r="D1409" s="1">
        <v>46257</v>
      </c>
      <c r="E1409" s="1">
        <v>46287</v>
      </c>
      <c r="F1409">
        <v>89506.59</v>
      </c>
      <c r="G1409" t="s">
        <v>2568</v>
      </c>
      <c r="I1409">
        <v>89506.59</v>
      </c>
      <c r="J1409">
        <v>-22</v>
      </c>
      <c r="K1409" t="s">
        <v>2669</v>
      </c>
    </row>
    <row r="1410" spans="1:11">
      <c r="A1410" t="s">
        <v>2765</v>
      </c>
      <c r="B1410" t="s">
        <v>2875</v>
      </c>
      <c r="C1410" t="s">
        <v>2590</v>
      </c>
      <c r="D1410" s="1">
        <v>46257</v>
      </c>
      <c r="E1410" s="1">
        <v>46287</v>
      </c>
      <c r="F1410">
        <v>23040.73</v>
      </c>
      <c r="G1410" t="s">
        <v>2562</v>
      </c>
      <c r="I1410">
        <v>23040.73</v>
      </c>
      <c r="J1410">
        <v>-22</v>
      </c>
      <c r="K1410" t="s">
        <v>2669</v>
      </c>
    </row>
    <row r="1411" spans="1:11">
      <c r="A1411" t="s">
        <v>2765</v>
      </c>
      <c r="B1411" t="s">
        <v>2876</v>
      </c>
      <c r="C1411" t="s">
        <v>2564</v>
      </c>
      <c r="D1411" s="1">
        <v>46257</v>
      </c>
      <c r="E1411" s="1">
        <v>46317</v>
      </c>
      <c r="F1411">
        <v>2000000</v>
      </c>
      <c r="G1411" t="s">
        <v>2562</v>
      </c>
      <c r="I1411">
        <v>2000000</v>
      </c>
      <c r="J1411">
        <v>-52</v>
      </c>
      <c r="K1411" t="s">
        <v>2669</v>
      </c>
    </row>
    <row r="1412" spans="1:11">
      <c r="A1412" t="s">
        <v>2765</v>
      </c>
      <c r="B1412" t="s">
        <v>2877</v>
      </c>
      <c r="C1412" t="s">
        <v>2556</v>
      </c>
      <c r="D1412" s="1">
        <v>46257</v>
      </c>
      <c r="E1412" s="1">
        <v>46287</v>
      </c>
      <c r="F1412">
        <v>32854.160000000003</v>
      </c>
      <c r="G1412" t="s">
        <v>2557</v>
      </c>
      <c r="I1412">
        <v>32854.160000000003</v>
      </c>
      <c r="J1412">
        <v>-22</v>
      </c>
      <c r="K1412" t="s">
        <v>2669</v>
      </c>
    </row>
    <row r="1413" spans="1:11">
      <c r="A1413" t="s">
        <v>2765</v>
      </c>
      <c r="B1413" t="s">
        <v>2878</v>
      </c>
      <c r="C1413" t="s">
        <v>2587</v>
      </c>
      <c r="D1413" s="1">
        <v>46257</v>
      </c>
      <c r="E1413" s="1">
        <v>46317</v>
      </c>
      <c r="F1413">
        <v>546699.25</v>
      </c>
      <c r="G1413" t="s">
        <v>2568</v>
      </c>
      <c r="I1413">
        <v>546699.25</v>
      </c>
      <c r="J1413">
        <v>-52</v>
      </c>
      <c r="K1413" t="s">
        <v>2669</v>
      </c>
    </row>
    <row r="1414" spans="1:11">
      <c r="A1414" t="s">
        <v>2765</v>
      </c>
      <c r="B1414" t="s">
        <v>2879</v>
      </c>
      <c r="C1414" t="s">
        <v>2580</v>
      </c>
      <c r="D1414" s="1">
        <v>46258</v>
      </c>
      <c r="E1414" s="1">
        <v>46273</v>
      </c>
      <c r="F1414">
        <v>13602.88</v>
      </c>
      <c r="G1414" t="s">
        <v>2557</v>
      </c>
      <c r="I1414">
        <v>13602.88</v>
      </c>
      <c r="J1414">
        <v>-8</v>
      </c>
      <c r="K1414" t="s">
        <v>2669</v>
      </c>
    </row>
    <row r="1415" spans="1:11">
      <c r="A1415" t="s">
        <v>2765</v>
      </c>
      <c r="B1415" t="s">
        <v>2880</v>
      </c>
      <c r="C1415" t="s">
        <v>2610</v>
      </c>
      <c r="D1415" s="1">
        <v>46258</v>
      </c>
      <c r="E1415" s="1">
        <v>46318</v>
      </c>
      <c r="F1415">
        <v>331786.19</v>
      </c>
      <c r="G1415" t="s">
        <v>2574</v>
      </c>
      <c r="I1415">
        <v>331786.19</v>
      </c>
      <c r="J1415">
        <v>-53</v>
      </c>
      <c r="K1415" t="s">
        <v>2669</v>
      </c>
    </row>
    <row r="1416" spans="1:11">
      <c r="A1416" t="s">
        <v>2765</v>
      </c>
      <c r="B1416" t="s">
        <v>2881</v>
      </c>
      <c r="C1416" t="s">
        <v>2620</v>
      </c>
      <c r="D1416" s="1">
        <v>46258</v>
      </c>
      <c r="E1416" s="1">
        <v>46288</v>
      </c>
      <c r="F1416">
        <v>185889.44</v>
      </c>
      <c r="G1416" t="s">
        <v>2568</v>
      </c>
      <c r="I1416">
        <v>185889.44</v>
      </c>
      <c r="J1416">
        <v>-23</v>
      </c>
      <c r="K1416" t="s">
        <v>2669</v>
      </c>
    </row>
    <row r="1417" spans="1:11">
      <c r="A1417" t="s">
        <v>2765</v>
      </c>
      <c r="B1417" t="s">
        <v>2882</v>
      </c>
      <c r="C1417" t="s">
        <v>2599</v>
      </c>
      <c r="D1417" s="1">
        <v>46258</v>
      </c>
      <c r="E1417" s="1">
        <v>46318</v>
      </c>
      <c r="F1417">
        <v>200741.81</v>
      </c>
      <c r="G1417" t="s">
        <v>2562</v>
      </c>
      <c r="I1417">
        <v>200741.81</v>
      </c>
      <c r="J1417">
        <v>-53</v>
      </c>
      <c r="K1417" t="s">
        <v>2669</v>
      </c>
    </row>
    <row r="1418" spans="1:11">
      <c r="A1418" t="s">
        <v>2765</v>
      </c>
      <c r="B1418" t="s">
        <v>2883</v>
      </c>
      <c r="C1418" t="s">
        <v>2585</v>
      </c>
      <c r="D1418" s="1">
        <v>46258</v>
      </c>
      <c r="E1418" s="1">
        <v>46288</v>
      </c>
      <c r="F1418">
        <v>154860.72</v>
      </c>
      <c r="G1418" t="s">
        <v>2562</v>
      </c>
      <c r="I1418">
        <v>154860.72</v>
      </c>
      <c r="J1418">
        <v>-23</v>
      </c>
      <c r="K1418" t="s">
        <v>2669</v>
      </c>
    </row>
    <row r="1419" spans="1:11">
      <c r="A1419" t="s">
        <v>2765</v>
      </c>
      <c r="B1419" t="s">
        <v>2394</v>
      </c>
      <c r="C1419" t="s">
        <v>2575</v>
      </c>
      <c r="D1419" s="1">
        <v>46258</v>
      </c>
      <c r="E1419" s="1">
        <v>46273</v>
      </c>
      <c r="F1419">
        <v>16912.27</v>
      </c>
      <c r="G1419" t="s">
        <v>2574</v>
      </c>
      <c r="H1419">
        <v>16912.27</v>
      </c>
      <c r="I1419">
        <v>0</v>
      </c>
      <c r="J1419">
        <v>-8</v>
      </c>
      <c r="K1419" t="s">
        <v>2558</v>
      </c>
    </row>
    <row r="1420" spans="1:11">
      <c r="A1420" t="s">
        <v>2765</v>
      </c>
      <c r="B1420" t="s">
        <v>2884</v>
      </c>
      <c r="C1420" t="s">
        <v>2583</v>
      </c>
      <c r="D1420" s="1">
        <v>46258</v>
      </c>
      <c r="E1420" s="1">
        <v>46318</v>
      </c>
      <c r="F1420">
        <v>337825.81</v>
      </c>
      <c r="G1420" t="s">
        <v>2562</v>
      </c>
      <c r="I1420">
        <v>337825.81</v>
      </c>
      <c r="J1420">
        <v>-53</v>
      </c>
      <c r="K1420" t="s">
        <v>2669</v>
      </c>
    </row>
    <row r="1421" spans="1:11">
      <c r="A1421" t="s">
        <v>2765</v>
      </c>
      <c r="B1421" t="s">
        <v>2885</v>
      </c>
      <c r="C1421" t="s">
        <v>2599</v>
      </c>
      <c r="D1421" s="1">
        <v>46258</v>
      </c>
      <c r="E1421" s="1">
        <v>46318</v>
      </c>
      <c r="F1421">
        <v>752875.79</v>
      </c>
      <c r="G1421" t="s">
        <v>2562</v>
      </c>
      <c r="I1421">
        <v>752875.79</v>
      </c>
      <c r="J1421">
        <v>-53</v>
      </c>
      <c r="K1421" t="s">
        <v>2669</v>
      </c>
    </row>
    <row r="1422" spans="1:11">
      <c r="A1422" t="s">
        <v>2765</v>
      </c>
      <c r="B1422" t="s">
        <v>2289</v>
      </c>
      <c r="C1422" t="s">
        <v>2559</v>
      </c>
      <c r="D1422" s="1">
        <v>46258</v>
      </c>
      <c r="E1422" s="1">
        <v>46273</v>
      </c>
      <c r="F1422">
        <v>55237.41</v>
      </c>
      <c r="G1422" t="s">
        <v>2560</v>
      </c>
      <c r="H1422">
        <v>24177.89</v>
      </c>
      <c r="I1422">
        <v>31059.52</v>
      </c>
      <c r="J1422">
        <v>-8</v>
      </c>
      <c r="K1422" t="s">
        <v>2669</v>
      </c>
    </row>
    <row r="1423" spans="1:11">
      <c r="A1423" t="s">
        <v>2765</v>
      </c>
      <c r="B1423" t="s">
        <v>2886</v>
      </c>
      <c r="C1423" t="s">
        <v>2565</v>
      </c>
      <c r="D1423" s="1">
        <v>46258</v>
      </c>
      <c r="E1423" s="1">
        <v>46273</v>
      </c>
      <c r="F1423">
        <v>14921.43</v>
      </c>
      <c r="G1423" t="s">
        <v>2566</v>
      </c>
      <c r="I1423">
        <v>14921.43</v>
      </c>
      <c r="J1423">
        <v>-8</v>
      </c>
      <c r="K1423" t="s">
        <v>2669</v>
      </c>
    </row>
    <row r="1424" spans="1:11">
      <c r="A1424" t="s">
        <v>2765</v>
      </c>
      <c r="B1424" t="s">
        <v>2887</v>
      </c>
      <c r="C1424" t="s">
        <v>2606</v>
      </c>
      <c r="D1424" s="1">
        <v>46258</v>
      </c>
      <c r="E1424" s="1">
        <v>46273</v>
      </c>
      <c r="F1424">
        <v>48295.56</v>
      </c>
      <c r="G1424" t="s">
        <v>2562</v>
      </c>
      <c r="I1424">
        <v>48295.56</v>
      </c>
      <c r="J1424">
        <v>-8</v>
      </c>
      <c r="K1424" t="s">
        <v>2669</v>
      </c>
    </row>
    <row r="1425" spans="1:11">
      <c r="A1425" t="s">
        <v>2765</v>
      </c>
      <c r="B1425" t="s">
        <v>2888</v>
      </c>
      <c r="C1425" t="s">
        <v>2599</v>
      </c>
      <c r="D1425" s="1">
        <v>46258</v>
      </c>
      <c r="E1425" s="1">
        <v>46318</v>
      </c>
      <c r="F1425">
        <v>1404927.34</v>
      </c>
      <c r="G1425" t="s">
        <v>2562</v>
      </c>
      <c r="I1425">
        <v>1404927.34</v>
      </c>
      <c r="J1425">
        <v>-53</v>
      </c>
      <c r="K1425" t="s">
        <v>2669</v>
      </c>
    </row>
    <row r="1426" spans="1:11">
      <c r="A1426" t="s">
        <v>2765</v>
      </c>
      <c r="B1426" t="s">
        <v>2237</v>
      </c>
      <c r="C1426" t="s">
        <v>2564</v>
      </c>
      <c r="D1426" s="1">
        <v>46258</v>
      </c>
      <c r="E1426" s="1">
        <v>46318</v>
      </c>
      <c r="F1426">
        <v>418833.27</v>
      </c>
      <c r="G1426" t="s">
        <v>2562</v>
      </c>
      <c r="H1426">
        <v>56904.68</v>
      </c>
      <c r="I1426">
        <v>361928.59</v>
      </c>
      <c r="J1426">
        <v>-53</v>
      </c>
      <c r="K1426" t="s">
        <v>2669</v>
      </c>
    </row>
    <row r="1427" spans="1:11">
      <c r="A1427" t="s">
        <v>2765</v>
      </c>
      <c r="B1427" t="s">
        <v>2889</v>
      </c>
      <c r="C1427" t="s">
        <v>2570</v>
      </c>
      <c r="D1427" s="1">
        <v>46258</v>
      </c>
      <c r="E1427" s="1">
        <v>46288</v>
      </c>
      <c r="F1427">
        <v>1523735.35</v>
      </c>
      <c r="G1427" t="s">
        <v>2557</v>
      </c>
      <c r="I1427">
        <v>1523735.35</v>
      </c>
      <c r="J1427">
        <v>-23</v>
      </c>
      <c r="K1427" t="s">
        <v>2669</v>
      </c>
    </row>
    <row r="1428" spans="1:11">
      <c r="A1428" t="s">
        <v>2765</v>
      </c>
      <c r="B1428" t="s">
        <v>2425</v>
      </c>
      <c r="C1428" t="s">
        <v>2579</v>
      </c>
      <c r="D1428" s="1">
        <v>46258</v>
      </c>
      <c r="E1428" s="1">
        <v>46288</v>
      </c>
      <c r="F1428">
        <v>188078.3</v>
      </c>
      <c r="G1428" t="s">
        <v>2557</v>
      </c>
      <c r="H1428">
        <v>86145.56</v>
      </c>
      <c r="I1428">
        <v>101932.74</v>
      </c>
      <c r="J1428">
        <v>-23</v>
      </c>
      <c r="K1428" t="s">
        <v>2669</v>
      </c>
    </row>
    <row r="1429" spans="1:11">
      <c r="A1429" t="s">
        <v>2765</v>
      </c>
      <c r="B1429" t="s">
        <v>2890</v>
      </c>
      <c r="C1429" t="s">
        <v>2585</v>
      </c>
      <c r="D1429" s="1">
        <v>46259</v>
      </c>
      <c r="E1429" s="1">
        <v>46289</v>
      </c>
      <c r="F1429">
        <v>365106.65</v>
      </c>
      <c r="G1429" t="s">
        <v>2562</v>
      </c>
      <c r="I1429">
        <v>365106.65</v>
      </c>
      <c r="J1429">
        <v>-24</v>
      </c>
      <c r="K1429" t="s">
        <v>2669</v>
      </c>
    </row>
    <row r="1430" spans="1:11">
      <c r="A1430" t="s">
        <v>2765</v>
      </c>
      <c r="B1430" t="s">
        <v>2891</v>
      </c>
      <c r="C1430" t="s">
        <v>2579</v>
      </c>
      <c r="D1430" s="1">
        <v>46259</v>
      </c>
      <c r="E1430" s="1">
        <v>46289</v>
      </c>
      <c r="F1430">
        <v>684547.61</v>
      </c>
      <c r="G1430" t="s">
        <v>2557</v>
      </c>
      <c r="I1430">
        <v>684547.61</v>
      </c>
      <c r="J1430">
        <v>-24</v>
      </c>
      <c r="K1430" t="s">
        <v>2669</v>
      </c>
    </row>
    <row r="1431" spans="1:11">
      <c r="A1431" t="s">
        <v>2765</v>
      </c>
      <c r="B1431" t="s">
        <v>2892</v>
      </c>
      <c r="C1431" t="s">
        <v>2599</v>
      </c>
      <c r="D1431" s="1">
        <v>46259</v>
      </c>
      <c r="E1431" s="1">
        <v>46319</v>
      </c>
      <c r="F1431">
        <v>204200.9</v>
      </c>
      <c r="G1431" t="s">
        <v>2562</v>
      </c>
      <c r="I1431">
        <v>204200.9</v>
      </c>
      <c r="J1431">
        <v>-54</v>
      </c>
      <c r="K1431" t="s">
        <v>2669</v>
      </c>
    </row>
    <row r="1432" spans="1:11">
      <c r="A1432" t="s">
        <v>2765</v>
      </c>
      <c r="B1432" t="s">
        <v>2893</v>
      </c>
      <c r="C1432" t="s">
        <v>2612</v>
      </c>
      <c r="D1432" s="1">
        <v>46259</v>
      </c>
      <c r="E1432" s="1">
        <v>46289</v>
      </c>
      <c r="F1432">
        <v>16899.41</v>
      </c>
      <c r="G1432" t="s">
        <v>2566</v>
      </c>
      <c r="I1432">
        <v>16899.41</v>
      </c>
      <c r="J1432">
        <v>-24</v>
      </c>
      <c r="K1432" t="s">
        <v>2669</v>
      </c>
    </row>
    <row r="1433" spans="1:11">
      <c r="A1433" t="s">
        <v>2765</v>
      </c>
      <c r="B1433" t="s">
        <v>2894</v>
      </c>
      <c r="C1433" t="s">
        <v>2582</v>
      </c>
      <c r="D1433" s="1">
        <v>46259</v>
      </c>
      <c r="E1433" s="1">
        <v>46289</v>
      </c>
      <c r="F1433">
        <v>64883.99</v>
      </c>
      <c r="G1433" t="s">
        <v>2557</v>
      </c>
      <c r="I1433">
        <v>64883.99</v>
      </c>
      <c r="J1433">
        <v>-24</v>
      </c>
      <c r="K1433" t="s">
        <v>2669</v>
      </c>
    </row>
    <row r="1434" spans="1:11">
      <c r="A1434" t="s">
        <v>2765</v>
      </c>
      <c r="B1434" t="s">
        <v>2895</v>
      </c>
      <c r="C1434" t="s">
        <v>2556</v>
      </c>
      <c r="D1434" s="1">
        <v>46259</v>
      </c>
      <c r="E1434" s="1">
        <v>46289</v>
      </c>
      <c r="F1434">
        <v>357992.7</v>
      </c>
      <c r="G1434" t="s">
        <v>2557</v>
      </c>
      <c r="I1434">
        <v>357992.7</v>
      </c>
      <c r="J1434">
        <v>-24</v>
      </c>
      <c r="K1434" t="s">
        <v>2669</v>
      </c>
    </row>
    <row r="1435" spans="1:11">
      <c r="A1435" t="s">
        <v>2765</v>
      </c>
      <c r="B1435" t="s">
        <v>2896</v>
      </c>
      <c r="C1435" t="s">
        <v>2583</v>
      </c>
      <c r="D1435" s="1">
        <v>46260</v>
      </c>
      <c r="E1435" s="1">
        <v>46320</v>
      </c>
      <c r="F1435">
        <v>434247.95</v>
      </c>
      <c r="G1435" t="s">
        <v>2562</v>
      </c>
      <c r="I1435">
        <v>434247.95</v>
      </c>
      <c r="J1435">
        <v>-55</v>
      </c>
      <c r="K1435" t="s">
        <v>2669</v>
      </c>
    </row>
    <row r="1436" spans="1:11">
      <c r="A1436" t="s">
        <v>2765</v>
      </c>
      <c r="B1436" t="s">
        <v>2897</v>
      </c>
      <c r="C1436" t="s">
        <v>2594</v>
      </c>
      <c r="D1436" s="1">
        <v>46260</v>
      </c>
      <c r="E1436" s="1">
        <v>46290</v>
      </c>
      <c r="F1436">
        <v>588854.31000000006</v>
      </c>
      <c r="G1436" t="s">
        <v>2557</v>
      </c>
      <c r="I1436">
        <v>588854.31000000006</v>
      </c>
      <c r="J1436">
        <v>-25</v>
      </c>
      <c r="K1436" t="s">
        <v>2669</v>
      </c>
    </row>
    <row r="1437" spans="1:11">
      <c r="A1437" t="s">
        <v>2765</v>
      </c>
      <c r="B1437" t="s">
        <v>2898</v>
      </c>
      <c r="C1437" t="s">
        <v>2595</v>
      </c>
      <c r="D1437" s="1">
        <v>46260</v>
      </c>
      <c r="E1437" s="1">
        <v>46290</v>
      </c>
      <c r="F1437">
        <v>776950.3</v>
      </c>
      <c r="G1437" t="s">
        <v>2568</v>
      </c>
      <c r="I1437">
        <v>776950.3</v>
      </c>
      <c r="J1437">
        <v>-25</v>
      </c>
      <c r="K1437" t="s">
        <v>2669</v>
      </c>
    </row>
    <row r="1438" spans="1:11">
      <c r="A1438" t="s">
        <v>2765</v>
      </c>
      <c r="B1438" t="s">
        <v>2899</v>
      </c>
      <c r="C1438" t="s">
        <v>2583</v>
      </c>
      <c r="D1438" s="1">
        <v>46260</v>
      </c>
      <c r="E1438" s="1">
        <v>46320</v>
      </c>
      <c r="F1438">
        <v>159099.67000000001</v>
      </c>
      <c r="G1438" t="s">
        <v>2562</v>
      </c>
      <c r="I1438">
        <v>159099.67000000001</v>
      </c>
      <c r="J1438">
        <v>-55</v>
      </c>
      <c r="K1438" t="s">
        <v>2669</v>
      </c>
    </row>
    <row r="1439" spans="1:11">
      <c r="A1439" t="s">
        <v>2765</v>
      </c>
      <c r="B1439" t="s">
        <v>2900</v>
      </c>
      <c r="C1439" t="s">
        <v>2579</v>
      </c>
      <c r="D1439" s="1">
        <v>46260</v>
      </c>
      <c r="E1439" s="1">
        <v>46290</v>
      </c>
      <c r="F1439">
        <v>282741.19</v>
      </c>
      <c r="G1439" t="s">
        <v>2557</v>
      </c>
      <c r="I1439">
        <v>282741.19</v>
      </c>
      <c r="J1439">
        <v>-25</v>
      </c>
      <c r="K1439" t="s">
        <v>2669</v>
      </c>
    </row>
    <row r="1440" spans="1:11">
      <c r="A1440" t="s">
        <v>2765</v>
      </c>
      <c r="B1440" t="s">
        <v>2901</v>
      </c>
      <c r="C1440" t="s">
        <v>2579</v>
      </c>
      <c r="D1440" s="1">
        <v>46260</v>
      </c>
      <c r="E1440" s="1">
        <v>46290</v>
      </c>
      <c r="F1440">
        <v>1371434.63</v>
      </c>
      <c r="G1440" t="s">
        <v>2557</v>
      </c>
      <c r="I1440">
        <v>1371434.63</v>
      </c>
      <c r="J1440">
        <v>-25</v>
      </c>
      <c r="K1440" t="s">
        <v>2669</v>
      </c>
    </row>
    <row r="1441" spans="1:11">
      <c r="A1441" t="s">
        <v>2765</v>
      </c>
      <c r="B1441" t="s">
        <v>2902</v>
      </c>
      <c r="C1441" t="s">
        <v>2588</v>
      </c>
      <c r="D1441" s="1">
        <v>46261</v>
      </c>
      <c r="E1441" s="1">
        <v>46291</v>
      </c>
      <c r="F1441">
        <v>275629.68</v>
      </c>
      <c r="G1441" t="s">
        <v>2562</v>
      </c>
      <c r="I1441">
        <v>275629.68</v>
      </c>
      <c r="J1441">
        <v>-26</v>
      </c>
      <c r="K1441" t="s">
        <v>2669</v>
      </c>
    </row>
    <row r="1442" spans="1:11">
      <c r="A1442" t="s">
        <v>2765</v>
      </c>
      <c r="B1442" t="s">
        <v>2903</v>
      </c>
      <c r="C1442" t="s">
        <v>2582</v>
      </c>
      <c r="D1442" s="1">
        <v>46261</v>
      </c>
      <c r="E1442" s="1">
        <v>46291</v>
      </c>
      <c r="F1442">
        <v>55053.75</v>
      </c>
      <c r="G1442" t="s">
        <v>2557</v>
      </c>
      <c r="I1442">
        <v>55053.75</v>
      </c>
      <c r="J1442">
        <v>-26</v>
      </c>
      <c r="K1442" t="s">
        <v>2669</v>
      </c>
    </row>
    <row r="1443" spans="1:11">
      <c r="A1443" t="s">
        <v>2765</v>
      </c>
      <c r="B1443" t="s">
        <v>2904</v>
      </c>
      <c r="C1443" t="s">
        <v>2595</v>
      </c>
      <c r="D1443" s="1">
        <v>46261</v>
      </c>
      <c r="E1443" s="1">
        <v>46291</v>
      </c>
      <c r="F1443">
        <v>52440.99</v>
      </c>
      <c r="G1443" t="s">
        <v>2568</v>
      </c>
      <c r="I1443">
        <v>52440.99</v>
      </c>
      <c r="J1443">
        <v>-26</v>
      </c>
      <c r="K1443" t="s">
        <v>2669</v>
      </c>
    </row>
    <row r="1444" spans="1:11">
      <c r="A1444" t="s">
        <v>2765</v>
      </c>
      <c r="B1444" t="s">
        <v>2905</v>
      </c>
      <c r="C1444" t="s">
        <v>2588</v>
      </c>
      <c r="D1444" s="1">
        <v>46261</v>
      </c>
      <c r="E1444" s="1">
        <v>46291</v>
      </c>
      <c r="F1444">
        <v>223402.73</v>
      </c>
      <c r="G1444" t="s">
        <v>2562</v>
      </c>
      <c r="I1444">
        <v>223402.73</v>
      </c>
      <c r="J1444">
        <v>-26</v>
      </c>
      <c r="K1444" t="s">
        <v>2669</v>
      </c>
    </row>
    <row r="1445" spans="1:11">
      <c r="A1445" t="s">
        <v>2765</v>
      </c>
      <c r="B1445" t="s">
        <v>2906</v>
      </c>
      <c r="C1445" t="s">
        <v>2561</v>
      </c>
      <c r="D1445" s="1">
        <v>46261</v>
      </c>
      <c r="E1445" s="1">
        <v>46306</v>
      </c>
      <c r="F1445">
        <v>321102.48</v>
      </c>
      <c r="G1445" t="s">
        <v>2562</v>
      </c>
      <c r="I1445">
        <v>321102.48</v>
      </c>
      <c r="J1445">
        <v>-41</v>
      </c>
      <c r="K1445" t="s">
        <v>2669</v>
      </c>
    </row>
    <row r="1446" spans="1:11">
      <c r="A1446" t="s">
        <v>2765</v>
      </c>
      <c r="B1446" t="s">
        <v>2907</v>
      </c>
      <c r="C1446" t="s">
        <v>2583</v>
      </c>
      <c r="D1446" s="1">
        <v>46261</v>
      </c>
      <c r="E1446" s="1">
        <v>46321</v>
      </c>
      <c r="F1446">
        <v>136528.57999999999</v>
      </c>
      <c r="G1446" t="s">
        <v>2562</v>
      </c>
      <c r="I1446">
        <v>136528.57999999999</v>
      </c>
      <c r="J1446">
        <v>-56</v>
      </c>
      <c r="K1446" t="s">
        <v>2669</v>
      </c>
    </row>
    <row r="1447" spans="1:11">
      <c r="A1447" t="s">
        <v>2765</v>
      </c>
      <c r="B1447" t="s">
        <v>2908</v>
      </c>
      <c r="C1447" t="s">
        <v>2576</v>
      </c>
      <c r="D1447" s="1">
        <v>46261</v>
      </c>
      <c r="E1447" s="1">
        <v>46306</v>
      </c>
      <c r="F1447">
        <v>1052662.5</v>
      </c>
      <c r="G1447" t="s">
        <v>2566</v>
      </c>
      <c r="I1447">
        <v>1052662.5</v>
      </c>
      <c r="J1447">
        <v>-41</v>
      </c>
      <c r="K1447" t="s">
        <v>2669</v>
      </c>
    </row>
    <row r="1448" spans="1:11">
      <c r="A1448" t="s">
        <v>2765</v>
      </c>
      <c r="B1448" t="s">
        <v>2909</v>
      </c>
      <c r="C1448" t="s">
        <v>2595</v>
      </c>
      <c r="D1448" s="1">
        <v>46261</v>
      </c>
      <c r="E1448" s="1">
        <v>46291</v>
      </c>
      <c r="F1448">
        <v>287932.96999999997</v>
      </c>
      <c r="G1448" t="s">
        <v>2568</v>
      </c>
      <c r="I1448">
        <v>287932.96999999997</v>
      </c>
      <c r="J1448">
        <v>-26</v>
      </c>
      <c r="K1448" t="s">
        <v>2669</v>
      </c>
    </row>
    <row r="1449" spans="1:11">
      <c r="A1449" t="s">
        <v>2765</v>
      </c>
      <c r="B1449" t="s">
        <v>2910</v>
      </c>
      <c r="C1449" t="s">
        <v>2599</v>
      </c>
      <c r="D1449" s="1">
        <v>46261</v>
      </c>
      <c r="E1449" s="1">
        <v>46321</v>
      </c>
      <c r="F1449">
        <v>495229.86</v>
      </c>
      <c r="G1449" t="s">
        <v>2562</v>
      </c>
      <c r="I1449">
        <v>495229.86</v>
      </c>
      <c r="J1449">
        <v>-56</v>
      </c>
      <c r="K1449" t="s">
        <v>2669</v>
      </c>
    </row>
    <row r="1450" spans="1:11">
      <c r="A1450" t="s">
        <v>2765</v>
      </c>
      <c r="B1450" t="s">
        <v>2911</v>
      </c>
      <c r="C1450" t="s">
        <v>2615</v>
      </c>
      <c r="D1450" s="1">
        <v>46261</v>
      </c>
      <c r="E1450" s="1">
        <v>46276</v>
      </c>
      <c r="F1450">
        <v>5586.7</v>
      </c>
      <c r="G1450" t="s">
        <v>2574</v>
      </c>
      <c r="I1450">
        <v>5586.7</v>
      </c>
      <c r="J1450">
        <v>-11</v>
      </c>
      <c r="K1450" t="s">
        <v>2669</v>
      </c>
    </row>
    <row r="1451" spans="1:11">
      <c r="A1451" t="s">
        <v>2765</v>
      </c>
      <c r="B1451" t="s">
        <v>2912</v>
      </c>
      <c r="C1451" t="s">
        <v>2593</v>
      </c>
      <c r="D1451" s="1">
        <v>46261</v>
      </c>
      <c r="E1451" s="1">
        <v>46291</v>
      </c>
      <c r="F1451">
        <v>44526.12</v>
      </c>
      <c r="G1451" t="s">
        <v>2574</v>
      </c>
      <c r="I1451">
        <v>44526.12</v>
      </c>
      <c r="J1451">
        <v>-26</v>
      </c>
      <c r="K1451" t="s">
        <v>2669</v>
      </c>
    </row>
    <row r="1452" spans="1:11">
      <c r="A1452" t="s">
        <v>2765</v>
      </c>
      <c r="B1452" t="s">
        <v>2913</v>
      </c>
      <c r="C1452" t="s">
        <v>2579</v>
      </c>
      <c r="D1452" s="1">
        <v>46261</v>
      </c>
      <c r="E1452" s="1">
        <v>46291</v>
      </c>
      <c r="F1452">
        <v>735187.34</v>
      </c>
      <c r="G1452" t="s">
        <v>2557</v>
      </c>
      <c r="I1452">
        <v>735187.34</v>
      </c>
      <c r="J1452">
        <v>-26</v>
      </c>
      <c r="K1452" t="s">
        <v>2669</v>
      </c>
    </row>
    <row r="1453" spans="1:11">
      <c r="A1453" t="s">
        <v>2765</v>
      </c>
      <c r="B1453" t="s">
        <v>2914</v>
      </c>
      <c r="C1453" t="s">
        <v>2610</v>
      </c>
      <c r="D1453" s="1">
        <v>46261</v>
      </c>
      <c r="E1453" s="1">
        <v>46321</v>
      </c>
      <c r="F1453">
        <v>32831.42</v>
      </c>
      <c r="G1453" t="s">
        <v>2574</v>
      </c>
      <c r="I1453">
        <v>32831.42</v>
      </c>
      <c r="J1453">
        <v>-56</v>
      </c>
      <c r="K1453" t="s">
        <v>2669</v>
      </c>
    </row>
    <row r="1454" spans="1:11">
      <c r="A1454" t="s">
        <v>2765</v>
      </c>
      <c r="B1454" t="s">
        <v>2915</v>
      </c>
      <c r="C1454" t="s">
        <v>2580</v>
      </c>
      <c r="D1454" s="1">
        <v>46261</v>
      </c>
      <c r="E1454" s="1">
        <v>46276</v>
      </c>
      <c r="F1454">
        <v>18787.599999999999</v>
      </c>
      <c r="G1454" t="s">
        <v>2557</v>
      </c>
      <c r="I1454">
        <v>18787.599999999999</v>
      </c>
      <c r="J1454">
        <v>-11</v>
      </c>
      <c r="K1454" t="s">
        <v>2669</v>
      </c>
    </row>
    <row r="1455" spans="1:11">
      <c r="A1455" t="s">
        <v>2765</v>
      </c>
      <c r="B1455" t="s">
        <v>2916</v>
      </c>
      <c r="C1455" t="s">
        <v>2620</v>
      </c>
      <c r="D1455" s="1">
        <v>46261</v>
      </c>
      <c r="E1455" s="1">
        <v>46291</v>
      </c>
      <c r="F1455">
        <v>63002.95</v>
      </c>
      <c r="G1455" t="s">
        <v>2568</v>
      </c>
      <c r="I1455">
        <v>63002.95</v>
      </c>
      <c r="J1455">
        <v>-26</v>
      </c>
      <c r="K1455" t="s">
        <v>2669</v>
      </c>
    </row>
    <row r="1456" spans="1:11">
      <c r="A1456" t="s">
        <v>2765</v>
      </c>
      <c r="B1456" t="s">
        <v>2917</v>
      </c>
      <c r="C1456" t="s">
        <v>2588</v>
      </c>
      <c r="D1456" s="1">
        <v>46261</v>
      </c>
      <c r="E1456" s="1">
        <v>46291</v>
      </c>
      <c r="F1456">
        <v>142915.81</v>
      </c>
      <c r="G1456" t="s">
        <v>2562</v>
      </c>
      <c r="I1456">
        <v>142915.81</v>
      </c>
      <c r="J1456">
        <v>-26</v>
      </c>
      <c r="K1456" t="s">
        <v>2669</v>
      </c>
    </row>
    <row r="1457" spans="1:11">
      <c r="A1457" t="s">
        <v>2765</v>
      </c>
      <c r="B1457" t="s">
        <v>2918</v>
      </c>
      <c r="C1457" t="s">
        <v>2569</v>
      </c>
      <c r="D1457" s="1">
        <v>46261</v>
      </c>
      <c r="E1457" s="1">
        <v>46276</v>
      </c>
      <c r="F1457">
        <v>164318.95000000001</v>
      </c>
      <c r="G1457" t="s">
        <v>2557</v>
      </c>
      <c r="I1457">
        <v>164318.95000000001</v>
      </c>
      <c r="J1457">
        <v>-11</v>
      </c>
      <c r="K1457" t="s">
        <v>2669</v>
      </c>
    </row>
    <row r="1458" spans="1:11">
      <c r="A1458" t="s">
        <v>2765</v>
      </c>
      <c r="B1458" t="s">
        <v>2919</v>
      </c>
      <c r="C1458" t="s">
        <v>2580</v>
      </c>
      <c r="D1458" s="1">
        <v>46261</v>
      </c>
      <c r="E1458" s="1">
        <v>46276</v>
      </c>
      <c r="F1458">
        <v>239082.34</v>
      </c>
      <c r="G1458" t="s">
        <v>2557</v>
      </c>
      <c r="I1458">
        <v>239082.34</v>
      </c>
      <c r="J1458">
        <v>-11</v>
      </c>
      <c r="K1458" t="s">
        <v>2669</v>
      </c>
    </row>
    <row r="1459" spans="1:11">
      <c r="A1459" t="s">
        <v>2765</v>
      </c>
      <c r="B1459" t="s">
        <v>2920</v>
      </c>
      <c r="C1459" t="s">
        <v>2582</v>
      </c>
      <c r="D1459" s="1">
        <v>46262</v>
      </c>
      <c r="E1459" s="1">
        <v>46292</v>
      </c>
      <c r="F1459">
        <v>64590.62</v>
      </c>
      <c r="G1459" t="s">
        <v>2557</v>
      </c>
      <c r="I1459">
        <v>64590.62</v>
      </c>
      <c r="J1459">
        <v>-27</v>
      </c>
      <c r="K1459" t="s">
        <v>2669</v>
      </c>
    </row>
    <row r="1460" spans="1:11">
      <c r="A1460" t="s">
        <v>2765</v>
      </c>
      <c r="B1460" t="s">
        <v>2921</v>
      </c>
      <c r="C1460" t="s">
        <v>2561</v>
      </c>
      <c r="D1460" s="1">
        <v>46262</v>
      </c>
      <c r="E1460" s="1">
        <v>46307</v>
      </c>
      <c r="F1460">
        <v>626657.81000000006</v>
      </c>
      <c r="G1460" t="s">
        <v>2562</v>
      </c>
      <c r="I1460">
        <v>626657.81000000006</v>
      </c>
      <c r="J1460">
        <v>-42</v>
      </c>
      <c r="K1460" t="s">
        <v>2669</v>
      </c>
    </row>
    <row r="1461" spans="1:11">
      <c r="A1461" t="s">
        <v>2765</v>
      </c>
      <c r="B1461" t="s">
        <v>2427</v>
      </c>
      <c r="C1461" t="s">
        <v>2579</v>
      </c>
      <c r="D1461" s="1">
        <v>46262</v>
      </c>
      <c r="E1461" s="1">
        <v>46292</v>
      </c>
      <c r="F1461">
        <v>646148.41</v>
      </c>
      <c r="G1461" t="s">
        <v>2557</v>
      </c>
      <c r="H1461">
        <v>220143.09</v>
      </c>
      <c r="I1461">
        <v>426005.32</v>
      </c>
      <c r="J1461">
        <v>-27</v>
      </c>
      <c r="K1461" t="s">
        <v>2669</v>
      </c>
    </row>
    <row r="1462" spans="1:11">
      <c r="A1462" t="s">
        <v>2765</v>
      </c>
      <c r="B1462" t="s">
        <v>2922</v>
      </c>
      <c r="C1462" t="s">
        <v>2570</v>
      </c>
      <c r="D1462" s="1">
        <v>46262</v>
      </c>
      <c r="E1462" s="1">
        <v>46292</v>
      </c>
      <c r="F1462">
        <v>549174.22</v>
      </c>
      <c r="G1462" t="s">
        <v>2557</v>
      </c>
      <c r="I1462">
        <v>549174.22</v>
      </c>
      <c r="J1462">
        <v>-27</v>
      </c>
      <c r="K1462" t="s">
        <v>2669</v>
      </c>
    </row>
    <row r="1463" spans="1:11">
      <c r="A1463" t="s">
        <v>2765</v>
      </c>
      <c r="B1463" t="s">
        <v>2923</v>
      </c>
      <c r="C1463" t="s">
        <v>2593</v>
      </c>
      <c r="D1463" s="1">
        <v>46262</v>
      </c>
      <c r="E1463" s="1">
        <v>46292</v>
      </c>
      <c r="F1463">
        <v>51130.37</v>
      </c>
      <c r="G1463" t="s">
        <v>2574</v>
      </c>
      <c r="I1463">
        <v>51130.37</v>
      </c>
      <c r="J1463">
        <v>-27</v>
      </c>
      <c r="K1463" t="s">
        <v>2669</v>
      </c>
    </row>
    <row r="1464" spans="1:11">
      <c r="A1464" t="s">
        <v>2765</v>
      </c>
      <c r="B1464" t="s">
        <v>2924</v>
      </c>
      <c r="C1464" t="s">
        <v>2571</v>
      </c>
      <c r="D1464" s="1">
        <v>46262</v>
      </c>
      <c r="E1464" s="1">
        <v>46307</v>
      </c>
      <c r="F1464">
        <v>507109.33</v>
      </c>
      <c r="G1464" t="s">
        <v>2568</v>
      </c>
      <c r="I1464">
        <v>507109.33</v>
      </c>
      <c r="J1464">
        <v>-42</v>
      </c>
      <c r="K1464" t="s">
        <v>2669</v>
      </c>
    </row>
    <row r="1465" spans="1:11">
      <c r="A1465" t="s">
        <v>2765</v>
      </c>
      <c r="B1465" t="s">
        <v>2925</v>
      </c>
      <c r="C1465" t="s">
        <v>2567</v>
      </c>
      <c r="D1465" s="1">
        <v>46262</v>
      </c>
      <c r="E1465" s="1">
        <v>46307</v>
      </c>
      <c r="F1465">
        <v>1888169.02</v>
      </c>
      <c r="G1465" t="s">
        <v>2568</v>
      </c>
      <c r="I1465">
        <v>1888169.02</v>
      </c>
      <c r="J1465">
        <v>-42</v>
      </c>
      <c r="K1465" t="s">
        <v>2669</v>
      </c>
    </row>
    <row r="1466" spans="1:11">
      <c r="A1466" t="s">
        <v>2765</v>
      </c>
      <c r="B1466" t="s">
        <v>2926</v>
      </c>
      <c r="C1466" t="s">
        <v>2583</v>
      </c>
      <c r="D1466" s="1">
        <v>46262</v>
      </c>
      <c r="E1466" s="1">
        <v>46322</v>
      </c>
      <c r="F1466">
        <v>399009.65</v>
      </c>
      <c r="G1466" t="s">
        <v>2562</v>
      </c>
      <c r="I1466">
        <v>399009.65</v>
      </c>
      <c r="J1466">
        <v>-57</v>
      </c>
      <c r="K1466" t="s">
        <v>2669</v>
      </c>
    </row>
    <row r="1467" spans="1:11">
      <c r="A1467" t="s">
        <v>2765</v>
      </c>
      <c r="B1467" t="s">
        <v>2927</v>
      </c>
      <c r="C1467" t="s">
        <v>2565</v>
      </c>
      <c r="D1467" s="1">
        <v>46263</v>
      </c>
      <c r="E1467" s="1">
        <v>46278</v>
      </c>
      <c r="F1467">
        <v>12784.1</v>
      </c>
      <c r="G1467" t="s">
        <v>2566</v>
      </c>
      <c r="I1467">
        <v>12784.1</v>
      </c>
      <c r="J1467">
        <v>-13</v>
      </c>
      <c r="K1467" t="s">
        <v>2669</v>
      </c>
    </row>
    <row r="1468" spans="1:11">
      <c r="A1468" t="s">
        <v>2765</v>
      </c>
      <c r="B1468" t="s">
        <v>2928</v>
      </c>
      <c r="C1468" t="s">
        <v>2610</v>
      </c>
      <c r="D1468" s="1">
        <v>46263</v>
      </c>
      <c r="E1468" s="1">
        <v>46323</v>
      </c>
      <c r="F1468">
        <v>298144.26</v>
      </c>
      <c r="G1468" t="s">
        <v>2574</v>
      </c>
      <c r="I1468">
        <v>298144.26</v>
      </c>
      <c r="J1468">
        <v>-58</v>
      </c>
      <c r="K1468" t="s">
        <v>2669</v>
      </c>
    </row>
    <row r="1469" spans="1:11">
      <c r="A1469" t="s">
        <v>2765</v>
      </c>
      <c r="B1469" t="s">
        <v>2929</v>
      </c>
      <c r="C1469" t="s">
        <v>2595</v>
      </c>
      <c r="D1469" s="1">
        <v>46263</v>
      </c>
      <c r="E1469" s="1">
        <v>46293</v>
      </c>
      <c r="F1469">
        <v>326815.94</v>
      </c>
      <c r="G1469" t="s">
        <v>2568</v>
      </c>
      <c r="I1469">
        <v>326815.94</v>
      </c>
      <c r="J1469">
        <v>-28</v>
      </c>
      <c r="K1469" t="s">
        <v>2669</v>
      </c>
    </row>
    <row r="1470" spans="1:11">
      <c r="A1470" t="s">
        <v>2765</v>
      </c>
      <c r="B1470" t="s">
        <v>2930</v>
      </c>
      <c r="C1470" t="s">
        <v>2595</v>
      </c>
      <c r="D1470" s="1">
        <v>46263</v>
      </c>
      <c r="E1470" s="1">
        <v>46293</v>
      </c>
      <c r="F1470">
        <v>188832.68</v>
      </c>
      <c r="G1470" t="s">
        <v>2568</v>
      </c>
      <c r="I1470">
        <v>188832.68</v>
      </c>
      <c r="J1470">
        <v>-28</v>
      </c>
      <c r="K1470" t="s">
        <v>2669</v>
      </c>
    </row>
    <row r="1471" spans="1:11">
      <c r="A1471" t="s">
        <v>2765</v>
      </c>
      <c r="B1471" t="s">
        <v>2931</v>
      </c>
      <c r="C1471" t="s">
        <v>2588</v>
      </c>
      <c r="D1471" s="1">
        <v>46263</v>
      </c>
      <c r="E1471" s="1">
        <v>46293</v>
      </c>
      <c r="F1471">
        <v>410138.77</v>
      </c>
      <c r="G1471" t="s">
        <v>2562</v>
      </c>
      <c r="I1471">
        <v>410138.77</v>
      </c>
      <c r="J1471">
        <v>-28</v>
      </c>
      <c r="K1471" t="s">
        <v>2669</v>
      </c>
    </row>
    <row r="1472" spans="1:11">
      <c r="A1472" t="s">
        <v>2765</v>
      </c>
      <c r="B1472" t="s">
        <v>2932</v>
      </c>
      <c r="C1472" t="s">
        <v>2561</v>
      </c>
      <c r="D1472" s="1">
        <v>46263</v>
      </c>
      <c r="E1472" s="1">
        <v>46308</v>
      </c>
      <c r="F1472">
        <v>454338.08</v>
      </c>
      <c r="G1472" t="s">
        <v>2562</v>
      </c>
      <c r="I1472">
        <v>454338.08</v>
      </c>
      <c r="J1472">
        <v>-43</v>
      </c>
      <c r="K1472" t="s">
        <v>2669</v>
      </c>
    </row>
    <row r="1473" spans="1:11">
      <c r="A1473" t="s">
        <v>2765</v>
      </c>
      <c r="B1473" t="s">
        <v>2933</v>
      </c>
      <c r="C1473" t="s">
        <v>2576</v>
      </c>
      <c r="D1473" s="1">
        <v>46263</v>
      </c>
      <c r="E1473" s="1">
        <v>46308</v>
      </c>
      <c r="F1473">
        <v>459719.07</v>
      </c>
      <c r="G1473" t="s">
        <v>2566</v>
      </c>
      <c r="I1473">
        <v>459719.07</v>
      </c>
      <c r="J1473">
        <v>-43</v>
      </c>
      <c r="K1473" t="s">
        <v>2669</v>
      </c>
    </row>
    <row r="1474" spans="1:11">
      <c r="A1474" t="s">
        <v>2765</v>
      </c>
      <c r="B1474" t="s">
        <v>2934</v>
      </c>
      <c r="C1474" t="s">
        <v>2620</v>
      </c>
      <c r="D1474" s="1">
        <v>46263</v>
      </c>
      <c r="E1474" s="1">
        <v>46293</v>
      </c>
      <c r="F1474">
        <v>157090.32</v>
      </c>
      <c r="G1474" t="s">
        <v>2568</v>
      </c>
      <c r="I1474">
        <v>157090.32</v>
      </c>
      <c r="J1474">
        <v>-28</v>
      </c>
      <c r="K1474" t="s">
        <v>2669</v>
      </c>
    </row>
    <row r="1475" spans="1:11">
      <c r="A1475" t="s">
        <v>2765</v>
      </c>
      <c r="B1475" t="s">
        <v>2935</v>
      </c>
      <c r="C1475" t="s">
        <v>2579</v>
      </c>
      <c r="D1475" s="1">
        <v>46263</v>
      </c>
      <c r="E1475" s="1">
        <v>46293</v>
      </c>
      <c r="F1475">
        <v>55859.49</v>
      </c>
      <c r="G1475" t="s">
        <v>2557</v>
      </c>
      <c r="I1475">
        <v>55859.49</v>
      </c>
      <c r="J1475">
        <v>-28</v>
      </c>
      <c r="K1475" t="s">
        <v>2669</v>
      </c>
    </row>
    <row r="1476" spans="1:11">
      <c r="A1476" t="s">
        <v>2765</v>
      </c>
      <c r="B1476" t="s">
        <v>2936</v>
      </c>
      <c r="C1476" t="s">
        <v>2588</v>
      </c>
      <c r="D1476" s="1">
        <v>46264</v>
      </c>
      <c r="E1476" s="1">
        <v>46294</v>
      </c>
      <c r="F1476">
        <v>129705.17</v>
      </c>
      <c r="G1476" t="s">
        <v>2562</v>
      </c>
      <c r="I1476">
        <v>129705.17</v>
      </c>
      <c r="J1476">
        <v>-29</v>
      </c>
      <c r="K1476" t="s">
        <v>2669</v>
      </c>
    </row>
    <row r="1477" spans="1:11">
      <c r="A1477" t="s">
        <v>2765</v>
      </c>
      <c r="B1477" t="s">
        <v>2937</v>
      </c>
      <c r="C1477" t="s">
        <v>2576</v>
      </c>
      <c r="D1477" s="1">
        <v>46264</v>
      </c>
      <c r="E1477" s="1">
        <v>46309</v>
      </c>
      <c r="F1477">
        <v>201408.1</v>
      </c>
      <c r="G1477" t="s">
        <v>2566</v>
      </c>
      <c r="I1477">
        <v>201408.1</v>
      </c>
      <c r="J1477">
        <v>-44</v>
      </c>
      <c r="K1477" t="s">
        <v>2669</v>
      </c>
    </row>
    <row r="1478" spans="1:11">
      <c r="A1478" t="s">
        <v>2765</v>
      </c>
      <c r="B1478" t="s">
        <v>2543</v>
      </c>
      <c r="C1478" t="s">
        <v>2610</v>
      </c>
      <c r="D1478" s="1">
        <v>46264</v>
      </c>
      <c r="E1478" s="1">
        <v>46324</v>
      </c>
      <c r="F1478">
        <v>45354.84</v>
      </c>
      <c r="G1478" t="s">
        <v>2574</v>
      </c>
      <c r="H1478">
        <v>25346.78</v>
      </c>
      <c r="I1478">
        <v>20008.060000000001</v>
      </c>
      <c r="J1478">
        <v>-59</v>
      </c>
      <c r="K1478" t="s">
        <v>2669</v>
      </c>
    </row>
    <row r="1479" spans="1:11">
      <c r="A1479" t="s">
        <v>2765</v>
      </c>
      <c r="B1479" t="s">
        <v>2938</v>
      </c>
      <c r="C1479" t="s">
        <v>2567</v>
      </c>
      <c r="D1479" s="1">
        <v>46264</v>
      </c>
      <c r="E1479" s="1">
        <v>46309</v>
      </c>
      <c r="F1479">
        <v>1483988.42</v>
      </c>
      <c r="G1479" t="s">
        <v>2568</v>
      </c>
      <c r="I1479">
        <v>1483988.42</v>
      </c>
      <c r="J1479">
        <v>-44</v>
      </c>
      <c r="K1479" t="s">
        <v>2669</v>
      </c>
    </row>
    <row r="1480" spans="1:11">
      <c r="A1480" t="s">
        <v>2765</v>
      </c>
      <c r="B1480" t="s">
        <v>2939</v>
      </c>
      <c r="C1480" t="s">
        <v>2579</v>
      </c>
      <c r="D1480" s="1">
        <v>46265</v>
      </c>
      <c r="E1480" s="1">
        <v>46295</v>
      </c>
      <c r="F1480">
        <v>613492.72</v>
      </c>
      <c r="G1480" t="s">
        <v>2557</v>
      </c>
      <c r="I1480">
        <v>613492.72</v>
      </c>
      <c r="J1480">
        <v>-30</v>
      </c>
      <c r="K1480" t="s">
        <v>2669</v>
      </c>
    </row>
    <row r="1481" spans="1:11">
      <c r="A1481" t="s">
        <v>2765</v>
      </c>
      <c r="B1481" t="s">
        <v>2940</v>
      </c>
      <c r="C1481" t="s">
        <v>2564</v>
      </c>
      <c r="D1481" s="1">
        <v>46265</v>
      </c>
      <c r="E1481" s="1">
        <v>46325</v>
      </c>
      <c r="F1481">
        <v>369382.14</v>
      </c>
      <c r="G1481" t="s">
        <v>2562</v>
      </c>
      <c r="I1481">
        <v>369382.14</v>
      </c>
      <c r="J1481">
        <v>-60</v>
      </c>
      <c r="K1481" t="s">
        <v>2669</v>
      </c>
    </row>
    <row r="1482" spans="1:11">
      <c r="A1482" t="s">
        <v>2765</v>
      </c>
      <c r="B1482" t="s">
        <v>2941</v>
      </c>
      <c r="C1482" t="s">
        <v>2576</v>
      </c>
      <c r="D1482" s="1">
        <v>46265</v>
      </c>
      <c r="E1482" s="1">
        <v>46310</v>
      </c>
      <c r="F1482">
        <v>222206.71</v>
      </c>
      <c r="G1482" t="s">
        <v>2566</v>
      </c>
      <c r="I1482">
        <v>222206.71</v>
      </c>
      <c r="J1482">
        <v>-45</v>
      </c>
      <c r="K1482" t="s">
        <v>2669</v>
      </c>
    </row>
    <row r="1483" spans="1:11">
      <c r="A1483" t="s">
        <v>2765</v>
      </c>
      <c r="B1483" t="s">
        <v>2942</v>
      </c>
      <c r="C1483" t="s">
        <v>2576</v>
      </c>
      <c r="D1483" s="1">
        <v>46265</v>
      </c>
      <c r="E1483" s="1">
        <v>46310</v>
      </c>
      <c r="F1483">
        <v>503474.14</v>
      </c>
      <c r="G1483" t="s">
        <v>2566</v>
      </c>
      <c r="I1483">
        <v>503474.14</v>
      </c>
      <c r="J1483">
        <v>-45</v>
      </c>
      <c r="K1483" t="s">
        <v>2669</v>
      </c>
    </row>
    <row r="1484" spans="1:11">
      <c r="A1484" t="s">
        <v>2765</v>
      </c>
      <c r="B1484" t="s">
        <v>2943</v>
      </c>
      <c r="C1484" t="s">
        <v>2567</v>
      </c>
      <c r="D1484" s="1">
        <v>46265</v>
      </c>
      <c r="E1484" s="1">
        <v>46310</v>
      </c>
      <c r="F1484">
        <v>974608.2</v>
      </c>
      <c r="G1484" t="s">
        <v>2568</v>
      </c>
      <c r="I1484">
        <v>974608.2</v>
      </c>
      <c r="J1484">
        <v>-45</v>
      </c>
      <c r="K1484" t="s">
        <v>2669</v>
      </c>
    </row>
    <row r="1485" spans="1:11">
      <c r="A1485" t="s">
        <v>2765</v>
      </c>
      <c r="B1485" t="s">
        <v>2944</v>
      </c>
      <c r="C1485" t="s">
        <v>2575</v>
      </c>
      <c r="D1485" s="1">
        <v>46265</v>
      </c>
      <c r="E1485" s="1">
        <v>46280</v>
      </c>
      <c r="F1485">
        <v>15954.33</v>
      </c>
      <c r="G1485" t="s">
        <v>2574</v>
      </c>
      <c r="I1485">
        <v>15954.33</v>
      </c>
      <c r="J1485">
        <v>-15</v>
      </c>
      <c r="K1485" t="s">
        <v>2669</v>
      </c>
    </row>
    <row r="1486" spans="1:11">
      <c r="A1486" t="s">
        <v>2765</v>
      </c>
      <c r="B1486" t="s">
        <v>2945</v>
      </c>
      <c r="C1486" t="s">
        <v>2611</v>
      </c>
      <c r="D1486" s="1">
        <v>46265</v>
      </c>
      <c r="E1486" s="1">
        <v>46310</v>
      </c>
      <c r="F1486">
        <v>378260.95</v>
      </c>
      <c r="G1486" t="s">
        <v>2566</v>
      </c>
      <c r="I1486">
        <v>378260.95</v>
      </c>
      <c r="J1486">
        <v>-45</v>
      </c>
      <c r="K1486" t="s">
        <v>2669</v>
      </c>
    </row>
    <row r="1487" spans="1:11">
      <c r="A1487" t="s">
        <v>2765</v>
      </c>
      <c r="B1487" t="s">
        <v>2946</v>
      </c>
      <c r="C1487" t="s">
        <v>2580</v>
      </c>
      <c r="D1487" s="1">
        <v>46265</v>
      </c>
      <c r="E1487" s="1">
        <v>46280</v>
      </c>
      <c r="F1487">
        <v>79838.929999999993</v>
      </c>
      <c r="G1487" t="s">
        <v>2557</v>
      </c>
      <c r="I1487">
        <v>79838.929999999993</v>
      </c>
      <c r="J1487">
        <v>-15</v>
      </c>
      <c r="K1487" t="s">
        <v>2669</v>
      </c>
    </row>
    <row r="1488" spans="1:11">
      <c r="A1488" t="s">
        <v>2765</v>
      </c>
      <c r="B1488" t="s">
        <v>2947</v>
      </c>
      <c r="C1488" t="s">
        <v>2592</v>
      </c>
      <c r="D1488" s="1">
        <v>46265</v>
      </c>
      <c r="E1488" s="1">
        <v>46295</v>
      </c>
      <c r="F1488">
        <v>5563.05</v>
      </c>
      <c r="G1488" t="s">
        <v>2562</v>
      </c>
      <c r="I1488">
        <v>5563.05</v>
      </c>
      <c r="J1488">
        <v>-30</v>
      </c>
      <c r="K1488" t="s">
        <v>2669</v>
      </c>
    </row>
    <row r="1489" spans="1:11">
      <c r="A1489" t="s">
        <v>2765</v>
      </c>
      <c r="B1489" t="s">
        <v>2948</v>
      </c>
      <c r="C1489" t="s">
        <v>2590</v>
      </c>
      <c r="D1489" s="1">
        <v>46265</v>
      </c>
      <c r="E1489" s="1">
        <v>46295</v>
      </c>
      <c r="F1489">
        <v>33137.21</v>
      </c>
      <c r="G1489" t="s">
        <v>2562</v>
      </c>
      <c r="I1489">
        <v>33137.21</v>
      </c>
      <c r="J1489">
        <v>-30</v>
      </c>
      <c r="K1489" t="s">
        <v>2669</v>
      </c>
    </row>
    <row r="1490" spans="1:11">
      <c r="A1490" t="s">
        <v>2765</v>
      </c>
      <c r="B1490" t="s">
        <v>2949</v>
      </c>
      <c r="C1490" t="s">
        <v>2564</v>
      </c>
      <c r="D1490" s="1">
        <v>46265</v>
      </c>
      <c r="E1490" s="1">
        <v>46325</v>
      </c>
      <c r="F1490">
        <v>334632.49</v>
      </c>
      <c r="G1490" t="s">
        <v>2562</v>
      </c>
      <c r="I1490">
        <v>334632.49</v>
      </c>
      <c r="J1490">
        <v>-60</v>
      </c>
      <c r="K1490" t="s">
        <v>2669</v>
      </c>
    </row>
    <row r="1491" spans="1:11">
      <c r="A1491" t="s">
        <v>2765</v>
      </c>
      <c r="B1491" t="s">
        <v>2950</v>
      </c>
      <c r="C1491" t="s">
        <v>2594</v>
      </c>
      <c r="D1491" s="1">
        <v>46265</v>
      </c>
      <c r="E1491" s="1">
        <v>46295</v>
      </c>
      <c r="F1491">
        <v>86929.31</v>
      </c>
      <c r="G1491" t="s">
        <v>2557</v>
      </c>
      <c r="I1491">
        <v>86929.31</v>
      </c>
      <c r="J1491">
        <v>-30</v>
      </c>
      <c r="K1491" t="s">
        <v>2669</v>
      </c>
    </row>
    <row r="1492" spans="1:11">
      <c r="A1492" t="s">
        <v>2765</v>
      </c>
      <c r="B1492" t="s">
        <v>2951</v>
      </c>
      <c r="C1492" t="s">
        <v>2611</v>
      </c>
      <c r="D1492" s="1">
        <v>46265</v>
      </c>
      <c r="E1492" s="1">
        <v>46310</v>
      </c>
      <c r="F1492">
        <v>433076.6</v>
      </c>
      <c r="G1492" t="s">
        <v>2566</v>
      </c>
      <c r="I1492">
        <v>433076.6</v>
      </c>
      <c r="J1492">
        <v>-45</v>
      </c>
      <c r="K1492" t="s">
        <v>2669</v>
      </c>
    </row>
    <row r="1493" spans="1:11">
      <c r="A1493" t="s">
        <v>2765</v>
      </c>
      <c r="B1493" t="s">
        <v>2952</v>
      </c>
      <c r="C1493" t="s">
        <v>2595</v>
      </c>
      <c r="D1493" s="1">
        <v>46265</v>
      </c>
      <c r="E1493" s="1">
        <v>46295</v>
      </c>
      <c r="F1493">
        <v>870517.87</v>
      </c>
      <c r="G1493" t="s">
        <v>2568</v>
      </c>
      <c r="I1493">
        <v>870517.87</v>
      </c>
      <c r="J1493">
        <v>-30</v>
      </c>
      <c r="K1493" t="s">
        <v>2669</v>
      </c>
    </row>
    <row r="1494" spans="1:11">
      <c r="A1494" t="s">
        <v>2765</v>
      </c>
      <c r="B1494" t="s">
        <v>2953</v>
      </c>
      <c r="C1494" t="s">
        <v>2564</v>
      </c>
      <c r="D1494" s="1">
        <v>46265</v>
      </c>
      <c r="E1494" s="1">
        <v>46325</v>
      </c>
      <c r="F1494">
        <v>279344.25</v>
      </c>
      <c r="G1494" t="s">
        <v>2562</v>
      </c>
      <c r="I1494">
        <v>279344.25</v>
      </c>
      <c r="J1494">
        <v>-60</v>
      </c>
      <c r="K1494" t="s">
        <v>2669</v>
      </c>
    </row>
    <row r="1495" spans="1:11">
      <c r="A1495" t="s">
        <v>2765</v>
      </c>
      <c r="B1495" t="s">
        <v>2954</v>
      </c>
      <c r="C1495" t="s">
        <v>2579</v>
      </c>
      <c r="D1495" s="1">
        <v>46265</v>
      </c>
      <c r="E1495" s="1">
        <v>46295</v>
      </c>
      <c r="F1495">
        <v>501346.12</v>
      </c>
      <c r="G1495" t="s">
        <v>2557</v>
      </c>
      <c r="I1495">
        <v>501346.12</v>
      </c>
      <c r="J1495">
        <v>-30</v>
      </c>
      <c r="K1495" t="s">
        <v>2669</v>
      </c>
    </row>
    <row r="1496" spans="1:11">
      <c r="A1496" t="s">
        <v>2765</v>
      </c>
      <c r="B1496" t="s">
        <v>2923</v>
      </c>
      <c r="C1496" t="s">
        <v>2593</v>
      </c>
      <c r="D1496" s="1">
        <v>46262</v>
      </c>
      <c r="E1496" s="1">
        <v>46292</v>
      </c>
      <c r="F1496">
        <v>51130.37</v>
      </c>
      <c r="G1496" t="s">
        <v>2574</v>
      </c>
      <c r="I1496">
        <v>51130.37</v>
      </c>
      <c r="J1496">
        <v>-27</v>
      </c>
      <c r="K1496" t="s">
        <v>2669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E1D6-B33F-4E47-889C-2980EA6B573D}">
  <dimension ref="A1:G2"/>
  <sheetViews>
    <sheetView workbookViewId="0">
      <selection activeCell="H6" sqref="H6"/>
    </sheetView>
  </sheetViews>
  <sheetFormatPr defaultRowHeight="15"/>
  <cols>
    <col min="1" max="1" width="15.85546875" bestFit="1" customWidth="1"/>
    <col min="2" max="2" width="12.5703125" bestFit="1" customWidth="1"/>
    <col min="3" max="3" width="13.28515625" bestFit="1" customWidth="1"/>
    <col min="4" max="4" width="12.5703125" bestFit="1" customWidth="1"/>
    <col min="5" max="5" width="13.42578125" bestFit="1" customWidth="1"/>
  </cols>
  <sheetData>
    <row r="1" spans="1:7">
      <c r="A1" t="s">
        <v>2968</v>
      </c>
      <c r="B1" t="s">
        <v>2969</v>
      </c>
      <c r="C1" t="s">
        <v>2970</v>
      </c>
      <c r="D1" t="s">
        <v>2971</v>
      </c>
      <c r="E1" t="s">
        <v>2972</v>
      </c>
      <c r="F1" t="s">
        <v>2973</v>
      </c>
      <c r="G1" t="s">
        <v>2964</v>
      </c>
    </row>
    <row r="2" spans="1:7">
      <c r="A2" s="7">
        <v>138440722.5</v>
      </c>
      <c r="B2" s="7">
        <f>SUM(Invoices_Clean[outstanding])</f>
        <v>137533650.69000009</v>
      </c>
      <c r="C2" s="7">
        <f>SUMIFS(Invoices_Clean[outstanding],Invoices_Clean[outstanding],"&lt;0")</f>
        <v>-684799.42999999993</v>
      </c>
      <c r="D2" s="7">
        <f>B2-C2</f>
        <v>138218450.12000009</v>
      </c>
      <c r="E2" s="7">
        <f>A2-D2</f>
        <v>222272.37999990582</v>
      </c>
      <c r="F2" s="8">
        <f>E2/A2</f>
        <v>1.6055418953762383E-3</v>
      </c>
      <c r="G2" t="str">
        <f>IF(ABS(F2)&lt;=0.005,"Green",IF(ABS(F2)&lt;=0.01,"Amber","Red"))</f>
        <v>Green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06DB4-86E1-45CD-9331-05E053B04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Exec_Summary</vt:lpstr>
      <vt:lpstr>Pay_Summary</vt:lpstr>
      <vt:lpstr>Payment_Clean</vt:lpstr>
      <vt:lpstr>Scorecard</vt:lpstr>
      <vt:lpstr>pivot</vt:lpstr>
      <vt:lpstr>Invoices_Clean</vt:lpstr>
      <vt:lpstr>GL_Recon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shayed</dc:creator>
  <cp:lastModifiedBy>abu shayed</cp:lastModifiedBy>
  <dcterms:created xsi:type="dcterms:W3CDTF">2026-10-18T04:43:31Z</dcterms:created>
  <dcterms:modified xsi:type="dcterms:W3CDTF">2026-10-21T07:50:18Z</dcterms:modified>
</cp:coreProperties>
</file>